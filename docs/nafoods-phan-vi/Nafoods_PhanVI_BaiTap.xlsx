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Public_Data" sheetId="2" state="visible" r:id="rId2"/>
    <sheet xmlns:r="http://schemas.openxmlformats.org/officeDocument/2006/relationships" name="2_B27_Demand" sheetId="3" state="visible" r:id="rId3"/>
    <sheet xmlns:r="http://schemas.openxmlformats.org/officeDocument/2006/relationships" name="3_B28_COGS" sheetId="4" state="visible" r:id="rId4"/>
    <sheet xmlns:r="http://schemas.openxmlformats.org/officeDocument/2006/relationships" name="4_B29_Overhead" sheetId="5" state="visible" r:id="rId5"/>
    <sheet xmlns:r="http://schemas.openxmlformats.org/officeDocument/2006/relationships" name="5_B30_Variance" sheetId="6" state="visible" r:id="rId6"/>
    <sheet xmlns:r="http://schemas.openxmlformats.org/officeDocument/2006/relationships" name="6_B31_I2C" sheetId="7" state="visible" r:id="rId7"/>
    <sheet xmlns:r="http://schemas.openxmlformats.org/officeDocument/2006/relationships" name="7_B32_KP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"/>
    <numFmt numFmtId="167" formatCode="#,##0;[Red](#,##0)"/>
    <numFmt numFmtId="168" formatCode="0.0%;[Red]-0.0%"/>
  </numFmts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i val="1"/>
      <color rgb="00475569"/>
    </font>
    <font>
      <name val="Calibri"/>
      <b val="1"/>
    </font>
    <font>
      <name val="Calibri"/>
      <b val="1"/>
      <color rgb="00FFFFFF"/>
    </font>
    <font>
      <name val="Calibri"/>
      <color rgb="001D4ED8"/>
    </font>
  </fonts>
  <fills count="6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E0E7FF"/>
      </patternFill>
    </fill>
    <fill>
      <patternFill patternType="solid">
        <fgColor rgb="004F46E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5" fillId="2" borderId="1" pivotButton="0" quotePrefix="0" xfId="0"/>
    <xf numFmtId="0" fontId="0" fillId="0" borderId="0" applyAlignment="1" pivotButton="0" quotePrefix="0" xfId="0">
      <alignment vertical="top" wrapText="1"/>
    </xf>
    <xf numFmtId="165" fontId="5" fillId="2" borderId="1" pivotButton="0" quotePrefix="0" xfId="0"/>
    <xf numFmtId="164" fontId="3" fillId="4" borderId="1" pivotButton="0" quotePrefix="0" xfId="0"/>
    <xf numFmtId="166" fontId="3" fillId="4" borderId="1" pivotButton="0" quotePrefix="0" xfId="0"/>
    <xf numFmtId="165" fontId="3" fillId="4" borderId="1" pivotButton="0" quotePrefix="0" xfId="0"/>
    <xf numFmtId="3" fontId="5" fillId="3" borderId="1" pivotButton="0" quotePrefix="0" xfId="0"/>
    <xf numFmtId="2" fontId="3" fillId="4" borderId="1" pivotButton="0" quotePrefix="0" xfId="0"/>
    <xf numFmtId="3" fontId="3" fillId="4" borderId="1" pivotButton="0" quotePrefix="0" xfId="0"/>
    <xf numFmtId="9" fontId="5" fillId="3" borderId="1" pivotButton="0" quotePrefix="0" xfId="0"/>
    <xf numFmtId="167" fontId="3" fillId="4" borderId="1" pivotButton="0" quotePrefix="0" xfId="0"/>
    <xf numFmtId="3" fontId="0" fillId="0" borderId="1" pivotButton="0" quotePrefix="0" xfId="0"/>
    <xf numFmtId="0" fontId="3" fillId="0" borderId="1" pivotButton="0" quotePrefix="0" xfId="0"/>
    <xf numFmtId="0" fontId="0" fillId="0" borderId="4" pivotButton="0" quotePrefix="0" xfId="0"/>
    <xf numFmtId="2" fontId="5" fillId="3" borderId="1" pivotButton="0" quotePrefix="0" xfId="0"/>
    <xf numFmtId="168" fontId="3" fillId="4" borderId="1" pivotButton="0" quotePrefix="0" xfId="0"/>
    <xf numFmtId="4" fontId="5" fillId="3" borderId="1" pivotButton="0" quotePrefix="0" xfId="0"/>
    <xf numFmtId="4" fontId="0" fillId="0" borderId="1" pivotButton="0" quotePrefix="0" xfId="0"/>
    <xf numFmtId="3" fontId="5" fillId="2" borderId="1" pivotButton="0" quotePrefix="0" xfId="0"/>
    <xf numFmtId="164" fontId="5" fillId="3" borderId="1" pivotButton="0" quotePrefix="0" xfId="0"/>
    <xf numFmtId="9" fontId="3" fillId="4" borderId="1" pivotButton="0" quotePrefix="0" xfId="0"/>
    <xf numFmtId="0" fontId="0" fillId="0" borderId="5" pivotButton="0" quotePrefix="0" xfId="0"/>
    <xf numFmtId="0" fontId="5" fillId="3" borderId="1" pivotButton="0" quotePrefix="0" xfId="0"/>
    <xf numFmtId="1" fontId="5" fillId="3" borderId="1" pivotButton="0" quotePrefix="0" xfId="0"/>
    <xf numFmtId="165" fontId="5" fillId="3" borderId="1" pivotButton="0" quotePrefix="0" xfId="0"/>
    <xf numFmtId="1" fontId="3" fillId="4" borderId="1" pivotButton="0" quotePrefix="0" xfId="0"/>
    <xf numFmtId="166" fontId="5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Bán hàng vs Dự báo (t)</a:t>
            </a:r>
          </a:p>
        </rich>
      </tx>
    </title>
    <plotArea>
      <lineChart>
        <grouping val="standard"/>
        <ser>
          <idx val="0"/>
          <order val="0"/>
          <tx>
            <strRef>
              <f>'2_B27_Demand'!C4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'2_B27_Demand'!$A$5:$A$16</f>
            </numRef>
          </cat>
          <val>
            <numRef>
              <f>'2_B27_Demand'!$C$5:$C$16</f>
            </numRef>
          </val>
        </ser>
        <ser>
          <idx val="1"/>
          <order val="1"/>
          <tx>
            <strRef>
              <f>'2_B27_Demand'!E4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'2_B27_Demand'!$A$5:$A$16</f>
            </numRef>
          </cat>
          <val>
            <numRef>
              <f>'2_B27_Demand'!$E$5:$E$16</f>
            </numRef>
          </val>
        </ser>
        <ser>
          <idx val="2"/>
          <order val="2"/>
          <tx>
            <strRef>
              <f>'2_B27_Demand'!F4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'2_B27_Demand'!$A$5:$A$16</f>
            </numRef>
          </cat>
          <val>
            <numRef>
              <f>'2_B27_Demand'!$F$5:$F$16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Sản lượng chế biến theo tháng vs công suất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'4_B29_Overhead'!B9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'4_B29_Overhead'!$A$10:$A$21</f>
            </numRef>
          </cat>
          <val>
            <numRef>
              <f>'4_B29_Overhead'!$B$10:$B$21</f>
            </numRef>
          </val>
        </ser>
        <ser>
          <idx val="1"/>
          <order val="1"/>
          <tx>
            <strRef>
              <f>'4_B29_Overhead'!C9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'4_B29_Overhead'!$A$10:$A$21</f>
            </numRef>
          </cat>
          <val>
            <numRef>
              <f>'4_B29_Overhead'!$C$10:$C$21</f>
            </numRef>
          </val>
        </ser>
        <ser>
          <idx val="2"/>
          <order val="2"/>
          <tx>
            <strRef>
              <f>'4_B29_Overhead'!D9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'4_B29_Overhead'!$A$10:$A$21</f>
            </numRef>
          </cat>
          <val>
            <numRef>
              <f>'4_B29_Overhead'!$D$10:$D$21</f>
            </numRef>
          </val>
        </ser>
        <ser>
          <idx val="3"/>
          <order val="3"/>
          <tx>
            <strRef>
              <f>'4_B29_Overhead'!E9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'4_B29_Overhead'!$A$10:$A$21</f>
            </numRef>
          </cat>
          <val>
            <numRef>
              <f>'4_B29_Overhead'!$E$10:$E$21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3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Nafoods – Bộ bài tập thực chiến Phần VI (B27–B32)</t>
        </is>
      </c>
    </row>
    <row r="2">
      <c r="A2" s="2" t="inlineStr">
        <is>
          <t>Costing, Demand Planning &amp; Warehouse | Dùng kèm giáo án mentoring</t>
        </is>
      </c>
    </row>
    <row r="4">
      <c r="A4" s="3" t="inlineStr">
        <is>
          <t>Quy ước màu</t>
        </is>
      </c>
      <c r="B4" t="inlineStr"/>
    </row>
    <row r="5">
      <c r="A5" s="4" t="inlineStr">
        <is>
          <t>Ô xanh lá</t>
        </is>
      </c>
      <c r="B5" t="inlineStr">
        <is>
          <t>Số liệu PUBLIC (BCTC, báo chí, báo cáo CTCK) – xem sheet 1_Public_Data</t>
        </is>
      </c>
    </row>
    <row r="6">
      <c r="A6" s="5" t="inlineStr">
        <is>
          <t>Ô vàng</t>
        </is>
      </c>
      <c r="B6" t="inlineStr">
        <is>
          <t>GIẢ ĐỊNH để luyện tập – mentee thay bằng số nội bộ Nafoods</t>
        </is>
      </c>
    </row>
    <row r="7">
      <c r="A7" s="6" t="inlineStr">
        <is>
          <t>Ô tím</t>
        </is>
      </c>
      <c r="B7" t="inlineStr">
        <is>
          <t>Kết quả tính bằng công thức – không gõ đè</t>
        </is>
      </c>
    </row>
    <row r="8">
      <c r="A8" s="3" t="inlineStr"/>
      <c r="B8" t="inlineStr"/>
    </row>
    <row r="9">
      <c r="A9" s="3" t="inlineStr">
        <is>
          <t>Sheet</t>
        </is>
      </c>
      <c r="B9" t="inlineStr">
        <is>
          <t>Buổi / mục tiêu</t>
        </is>
      </c>
    </row>
    <row r="10">
      <c r="A10" s="3" t="inlineStr">
        <is>
          <t>2_B27_Demand</t>
        </is>
      </c>
      <c r="B10" t="inlineStr">
        <is>
          <t>B27 Demand Planning: seasonal index, dự báo 2026, MAPE/Bias, nhu cầu quả tươi</t>
        </is>
      </c>
    </row>
    <row r="11">
      <c r="A11" s="3" t="inlineStr">
        <is>
          <t>3_B28_COGS</t>
        </is>
      </c>
      <c r="B11" t="inlineStr">
        <is>
          <t>B28 Bóc tách giá vốn/kg: puree chanh leo, mít sấy tự SX vs gia công</t>
        </is>
      </c>
    </row>
    <row r="12">
      <c r="A12" s="3" t="inlineStr">
        <is>
          <t>4_B29_Overhead</t>
        </is>
      </c>
      <c r="B12" t="inlineStr">
        <is>
          <t>B29 Phân bổ SXC cố định theo công suất bình thường (VAS 02) &amp; chi phí nhàn rỗi</t>
        </is>
      </c>
    </row>
    <row r="13">
      <c r="A13" s="3" t="inlineStr">
        <is>
          <t>5_B30_Variance</t>
        </is>
      </c>
      <c r="B13" t="inlineStr">
        <is>
          <t>B30 Phân tích chênh lệch: giá bán, lượng, mix, giá vốn, giá NVL, hiệu suất (yield)</t>
        </is>
      </c>
    </row>
    <row r="14">
      <c r="A14" s="3" t="inlineStr">
        <is>
          <t>6_B31_I2C</t>
        </is>
      </c>
      <c r="B14" t="inlineStr">
        <is>
          <t>B31 Inventory-to-Cash, DIO/CCC, chi phí lưu kho lạnh, tiền giải phóng</t>
        </is>
      </c>
    </row>
    <row r="15">
      <c r="A15" s="3" t="inlineStr">
        <is>
          <t>7_B32_KPI</t>
        </is>
      </c>
      <c r="B15" t="inlineStr">
        <is>
          <t>B32 Từ điển KPI cho Dashboard Costing &amp; Inventory</t>
        </is>
      </c>
    </row>
    <row r="16">
      <c r="A16" s="3" t="inlineStr"/>
      <c r="B16" t="inlineStr"/>
    </row>
    <row r="17">
      <c r="A17" s="3" t="inlineStr">
        <is>
          <t>Lưu ý</t>
        </is>
      </c>
      <c r="B17" t="inlineStr">
        <is>
          <t>Số liệu giả định KHÔNG phải số thật của Nafoods. Không dùng cho mục đích đầu tư.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70" customWidth="1" min="5" max="5"/>
  </cols>
  <sheetData>
    <row r="1">
      <c r="A1" s="1" t="inlineStr">
        <is>
          <t>Dữ liệu public về Nafoods (NAF – HOSE)</t>
        </is>
      </c>
    </row>
    <row r="2">
      <c r="A2" s="2" t="inlineStr">
        <is>
          <t>Đơn vị: tỷ VND trừ khi ghi khác. Đối chiếu BCTC kiểm toán trước khi trình bày ra ngoài.</t>
        </is>
      </c>
    </row>
    <row r="4">
      <c r="A4" s="7" t="inlineStr">
        <is>
          <t>Chỉ tiêu</t>
        </is>
      </c>
      <c r="B4" s="7" t="inlineStr">
        <is>
          <t>2024</t>
        </is>
      </c>
      <c r="C4" s="7" t="inlineStr">
        <is>
          <t>2025</t>
        </is>
      </c>
      <c r="D4" s="7" t="inlineStr">
        <is>
          <t>6T/2026</t>
        </is>
      </c>
      <c r="E4" s="7" t="inlineStr">
        <is>
          <t>Nguồn</t>
        </is>
      </c>
    </row>
    <row r="5">
      <c r="A5" s="8" t="inlineStr">
        <is>
          <t>Doanh thu thuần</t>
        </is>
      </c>
      <c r="B5" s="9" t="n">
        <v>1437.7</v>
      </c>
      <c r="C5" s="9" t="n">
        <v>2063.7</v>
      </c>
      <c r="D5" s="9" t="n">
        <v>1167.46</v>
      </c>
      <c r="E5" s="10" t="inlineStr">
        <is>
          <t>Báo Pháp luật (2024); Báo Nghệ An (2025); Báo Đầu tư (6T/2026)</t>
        </is>
      </c>
    </row>
    <row r="6">
      <c r="A6" s="8" t="inlineStr">
        <is>
          <t>Lợi nhuận gộp</t>
        </is>
      </c>
      <c r="B6" s="8" t="n"/>
      <c r="C6" s="9" t="n">
        <v>469</v>
      </c>
      <c r="D6" s="8" t="n"/>
      <c r="E6" s="10" t="inlineStr">
        <is>
          <t>ABS Research note 06/2026</t>
        </is>
      </c>
    </row>
    <row r="7">
      <c r="A7" s="8" t="inlineStr">
        <is>
          <t>Biên LN gộp</t>
        </is>
      </c>
      <c r="B7" s="11" t="n">
        <v>0.282</v>
      </c>
      <c r="C7" s="11" t="n">
        <v>0.227</v>
      </c>
      <c r="D7" s="8" t="n"/>
      <c r="E7" s="10" t="inlineStr">
        <is>
          <t>ABS Research note 06/2026</t>
        </is>
      </c>
    </row>
    <row r="8">
      <c r="A8" s="8" t="inlineStr">
        <is>
          <t>LNST</t>
        </is>
      </c>
      <c r="B8" s="9" t="n">
        <v>118.1</v>
      </c>
      <c r="C8" s="9" t="n">
        <v>145.8</v>
      </c>
      <c r="D8" s="9" t="n">
        <v>140.6</v>
      </c>
      <c r="E8" s="10" t="inlineStr">
        <is>
          <t>Báo Pháp luật; Simply Wall St; Báo Đầu tư</t>
        </is>
      </c>
    </row>
    <row r="9">
      <c r="A9" s="8" t="inlineStr">
        <is>
          <t>Tổng tài sản (cuối kỳ)</t>
        </is>
      </c>
      <c r="B9" s="9" t="n">
        <v>2042</v>
      </c>
      <c r="C9" s="9" t="n">
        <v>2313</v>
      </c>
      <c r="D9" s="8" t="n"/>
      <c r="E9" s="10" t="inlineStr">
        <is>
          <t>Báo Pháp luật; VietnamFinance 03/2026</t>
        </is>
      </c>
    </row>
    <row r="10">
      <c r="A10" s="8" t="inlineStr">
        <is>
          <t>Nợ phải trả</t>
        </is>
      </c>
      <c r="B10" s="8" t="n"/>
      <c r="C10" s="9" t="n">
        <v>1529</v>
      </c>
      <c r="D10" s="8" t="n"/>
      <c r="E10" s="10" t="inlineStr">
        <is>
          <t>VietnamFinance 03/2026</t>
        </is>
      </c>
    </row>
    <row r="11">
      <c r="A11" s="8" t="inlineStr">
        <is>
          <t>Nợ ngắn hạn</t>
        </is>
      </c>
      <c r="B11" s="8" t="n"/>
      <c r="C11" s="9" t="n">
        <v>993</v>
      </c>
      <c r="D11" s="8" t="n"/>
      <c r="E11" s="10" t="inlineStr">
        <is>
          <t>VietnamFinance 03/2026</t>
        </is>
      </c>
    </row>
    <row r="12">
      <c r="A12" s="8" t="inlineStr">
        <is>
          <t>Hàng tồn kho (cuối Q1/2026)</t>
        </is>
      </c>
      <c r="B12" s="8" t="n"/>
      <c r="C12" s="8" t="n"/>
      <c r="D12" s="9" t="n">
        <v>249.2</v>
      </c>
      <c r="E12" s="10" t="inlineStr">
        <is>
          <t>ABS: tồn kho Q1/2026; thành phẩm 195 tỷ</t>
        </is>
      </c>
    </row>
    <row r="13">
      <c r="A13" s="8" t="inlineStr">
        <is>
          <t>Thành phẩm (cuối Q1/2026)</t>
        </is>
      </c>
      <c r="B13" s="8" t="n"/>
      <c r="C13" s="8" t="n"/>
      <c r="D13" s="9" t="n">
        <v>195</v>
      </c>
      <c r="E13" s="10" t="inlineStr">
        <is>
          <t>ABS: +52,7% so với cuối 2025</t>
        </is>
      </c>
    </row>
    <row r="14">
      <c r="A14" s="8" t="inlineStr">
        <is>
          <t>XDCB dở dang 30/6/2026</t>
        </is>
      </c>
      <c r="B14" s="8" t="n"/>
      <c r="C14" s="8" t="n"/>
      <c r="D14" s="9" t="n">
        <v>177.7</v>
      </c>
      <c r="E14" s="10" t="inlineStr">
        <is>
          <t>Báo Đầu tư: Long An GĐ2 100,3; Gia Lai GĐ4 39,6</t>
        </is>
      </c>
    </row>
    <row r="15">
      <c r="A15" s="8" t="inlineStr">
        <is>
          <t>Kế hoạch DT 2026</t>
        </is>
      </c>
      <c r="B15" s="8" t="n"/>
      <c r="C15" s="8" t="n"/>
      <c r="D15" s="9" t="n">
        <v>3000</v>
      </c>
      <c r="E15" s="10" t="inlineStr">
        <is>
          <t>ĐHĐCĐ 7/5/2026</t>
        </is>
      </c>
    </row>
    <row r="16">
      <c r="A16" s="8" t="inlineStr">
        <is>
          <t>Kế hoạch LNST 2026</t>
        </is>
      </c>
      <c r="B16" s="8" t="n"/>
      <c r="C16" s="8" t="n"/>
      <c r="D16" s="9" t="n">
        <v>200</v>
      </c>
      <c r="E16" s="10" t="inlineStr">
        <is>
          <t>ĐHĐCĐ 7/5/2026</t>
        </is>
      </c>
    </row>
    <row r="18">
      <c r="A18" s="3" t="inlineStr">
        <is>
          <t>Chỉ số suy ra</t>
        </is>
      </c>
    </row>
    <row r="19">
      <c r="A19" s="8" t="inlineStr">
        <is>
          <t>Giá vốn 2025 = DT − LN gộp</t>
        </is>
      </c>
      <c r="C19" s="12">
        <f>C5-C6</f>
        <v/>
      </c>
    </row>
    <row r="20">
      <c r="A20" s="8" t="inlineStr">
        <is>
          <t>Thành phẩm cuối 2025 ≈ 195 / 1,527</t>
        </is>
      </c>
      <c r="C20" s="12">
        <f>D13/1.527</f>
        <v/>
      </c>
    </row>
    <row r="21">
      <c r="A21" s="8" t="inlineStr">
        <is>
          <t>DIO ước tính (tồn kho Q1/26 ÷ giá vốn 2025 × 365)</t>
        </is>
      </c>
      <c r="C21" s="13">
        <f>D12/C19*365</f>
        <v/>
      </c>
    </row>
    <row r="22">
      <c r="A22" s="8" t="inlineStr">
        <is>
          <t>Hệ số nợ/tài sản 2025</t>
        </is>
      </c>
      <c r="C22" s="14">
        <f>C10/C9</f>
        <v/>
      </c>
    </row>
    <row r="24">
      <c r="A24" s="3" t="inlineStr">
        <is>
          <t>Dữ kiện vận hành (để đặt bối cảnh)</t>
        </is>
      </c>
    </row>
    <row r="25" ht="32" customHeight="1">
      <c r="A25" t="inlineStr">
        <is>
          <t>•</t>
        </is>
      </c>
      <c r="B25" s="10" t="inlineStr">
        <is>
          <t>9T/2025: DT 1.694 tỷ (+53%); chanh leo +47%, dứa +731%, mít sấy &gt;300 tỷ; châu Âu ~50% DT; biên gộp ~23% do giá NVL cao &amp; tỷ trọng gia công lớn (BSC).</t>
        </is>
      </c>
    </row>
    <row r="26" ht="32" customHeight="1">
      <c r="A26" t="inlineStr">
        <is>
          <t>•</t>
        </is>
      </c>
      <c r="B26" s="10" t="inlineStr">
        <is>
          <t>6T/2025: giá vốn 800,1 tỷ (+52,9%); biên gộp 22,3% so với 30,4% cùng kỳ.</t>
        </is>
      </c>
    </row>
    <row r="27" ht="32" customHeight="1">
      <c r="A27" t="inlineStr">
        <is>
          <t>•</t>
        </is>
      </c>
      <c r="B27" s="10" t="inlineStr">
        <is>
          <t>2024: DT giảm 17% do mất mùa vải &amp; cạnh tranh chanh leo; xoài, chuối tăng &gt;60%.</t>
        </is>
      </c>
    </row>
    <row r="28" ht="32" customHeight="1">
      <c r="A28" t="inlineStr">
        <is>
          <t>•</t>
        </is>
      </c>
      <c r="B28" s="10" t="inlineStr">
        <is>
          <t>Nafoods Tây Nguyên (Gia Lai): GĐ1 vận hành 8/2022 (104 tỷ); mở rộng lên 100.000 tấn nguyên liệu/năm, tổng vốn 744 tỷ.</t>
        </is>
      </c>
    </row>
    <row r="29" ht="32" customHeight="1">
      <c r="A29" t="inlineStr">
        <is>
          <t>•</t>
        </is>
      </c>
      <c r="B29" s="10" t="inlineStr">
        <is>
          <t>Công suất công bố trên hồ sơ doanh nghiệp: IQF 12.500 t; cô đặc 17.000 t; puree/NFC 10.000 t; sấy 700 t/năm (số cũ, cần cập nhật).</t>
        </is>
      </c>
    </row>
    <row r="30" ht="32" customHeight="1">
      <c r="A30" t="inlineStr">
        <is>
          <t>•</t>
        </is>
      </c>
      <c r="B30" s="10" t="inlineStr">
        <is>
          <t>Xuất khẩu ~78% DT (2019–2022, Vietcap); có mặt &gt;70 quốc gia; ~10% sản lượng xuất khẩu chanh leo toàn cầu.</t>
        </is>
      </c>
    </row>
    <row r="31" ht="32" customHeight="1">
      <c r="A31" t="inlineStr">
        <is>
          <t>•</t>
        </is>
      </c>
      <c r="B31" s="10" t="inlineStr">
        <is>
          <t>Vụ chanh leo: đợt thu hoạch đầu thường ~40% sản lượng năm; 2025 chỉ ~25% → giá quả tươi tăng.</t>
        </is>
      </c>
    </row>
    <row r="32" ht="32" customHeight="1">
      <c r="A32" t="inlineStr">
        <is>
          <t>•</t>
        </is>
      </c>
      <c r="B32" s="10" t="inlineStr">
        <is>
          <t>Nguồn vốn: FMO &gt;520 tỷ; responsAbility 160 tỷ vốn xanh. Mục tiêu 2030: 200 triệu USD doanh thu.</t>
        </is>
      </c>
    </row>
  </sheetData>
  <mergeCells count="8">
    <mergeCell ref="B31:E31"/>
    <mergeCell ref="B26:E26"/>
    <mergeCell ref="B27:E27"/>
    <mergeCell ref="B30:E30"/>
    <mergeCell ref="B29:E29"/>
    <mergeCell ref="B25:E25"/>
    <mergeCell ref="B28:E28"/>
    <mergeCell ref="B32:E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B27 – Demand Planning: Puree chanh leo (tấn thành phẩm)</t>
        </is>
      </c>
    </row>
    <row r="2">
      <c r="A2" s="2" t="inlineStr">
        <is>
          <t>Lịch sử bán hàng là GIẢ ĐỊNH mô phỏng tăng trưởng 2025 (+~40%). Cung quả tươi theo mùa vụ Tây Nguyên.</t>
        </is>
      </c>
    </row>
    <row r="4">
      <c r="A4" s="7" t="inlineStr">
        <is>
          <t>Tháng</t>
        </is>
      </c>
      <c r="B4" s="7" t="inlineStr">
        <is>
          <t>Bán 2024</t>
        </is>
      </c>
      <c r="C4" s="7" t="inlineStr">
        <is>
          <t>Bán 2025</t>
        </is>
      </c>
      <c r="D4" s="7" t="inlineStr">
        <is>
          <t>Seasonal index</t>
        </is>
      </c>
      <c r="E4" s="7" t="inlineStr">
        <is>
          <t>Dự báo 2026</t>
        </is>
      </c>
      <c r="F4" s="7" t="inlineStr">
        <is>
          <t>Thực tế 2026</t>
        </is>
      </c>
      <c r="G4" s="7" t="inlineStr">
        <is>
          <t>Sai số tuyệt đối</t>
        </is>
      </c>
      <c r="H4" s="7" t="inlineStr">
        <is>
          <t>APE</t>
        </is>
      </c>
      <c r="I4" s="7" t="inlineStr">
        <is>
          <t>% sản lượng quả theo tháng</t>
        </is>
      </c>
      <c r="J4" s="7" t="inlineStr">
        <is>
          <t>Quả tươi cần (t)</t>
        </is>
      </c>
      <c r="K4" s="7" t="inlineStr">
        <is>
          <t>Quả sẵn có (t)</t>
        </is>
      </c>
      <c r="L4" s="7" t="inlineStr">
        <is>
          <t>Thiếu/(thừa) quả</t>
        </is>
      </c>
      <c r="M4" s="7" t="inlineStr">
        <is>
          <t>Cân đối lũy kế (t)</t>
        </is>
      </c>
    </row>
    <row r="5">
      <c r="A5" s="8" t="inlineStr">
        <is>
          <t>T1</t>
        </is>
      </c>
      <c r="B5" s="15" t="n">
        <v>820</v>
      </c>
      <c r="C5" s="15" t="n">
        <v>1150</v>
      </c>
      <c r="D5" s="16">
        <f>((B5/AVERAGE($B$5:$B$16))+(C5/AVERAGE($C$5:$C$16)))/2</f>
        <v/>
      </c>
      <c r="E5" s="17">
        <f>$C$21*(1+$C$20)/12*D5</f>
        <v/>
      </c>
      <c r="F5" s="15" t="n">
        <v>1380</v>
      </c>
      <c r="G5" s="17">
        <f>IF(F5="","",ABS(F5-E5))</f>
        <v/>
      </c>
      <c r="H5" s="14">
        <f>IF(F5="","",G5/F5)</f>
        <v/>
      </c>
      <c r="I5" s="18" t="n">
        <v>0.04</v>
      </c>
      <c r="J5" s="17">
        <f>E5*$C$22</f>
        <v/>
      </c>
      <c r="K5" s="17">
        <f>$C$23*I5</f>
        <v/>
      </c>
      <c r="L5" s="19">
        <f>J5-K5</f>
        <v/>
      </c>
      <c r="M5" s="19">
        <f>SUM($K$5:K5)-SUM($J$5:J5)</f>
        <v/>
      </c>
    </row>
    <row r="6">
      <c r="A6" s="8" t="inlineStr">
        <is>
          <t>T2</t>
        </is>
      </c>
      <c r="B6" s="15" t="n">
        <v>780</v>
      </c>
      <c r="C6" s="15" t="n">
        <v>1100</v>
      </c>
      <c r="D6" s="16">
        <f>((B6/AVERAGE($B$5:$B$16))+(C6/AVERAGE($C$5:$C$16)))/2</f>
        <v/>
      </c>
      <c r="E6" s="17">
        <f>$C$21*(1+$C$20)/12*D6</f>
        <v/>
      </c>
      <c r="F6" s="15" t="n">
        <v>1150</v>
      </c>
      <c r="G6" s="17">
        <f>IF(F6="","",ABS(F6-E6))</f>
        <v/>
      </c>
      <c r="H6" s="14">
        <f>IF(F6="","",G6/F6)</f>
        <v/>
      </c>
      <c r="I6" s="18" t="n">
        <v>0.03</v>
      </c>
      <c r="J6" s="17">
        <f>E6*$C$22</f>
        <v/>
      </c>
      <c r="K6" s="17">
        <f>$C$23*I6</f>
        <v/>
      </c>
      <c r="L6" s="19">
        <f>J6-K6</f>
        <v/>
      </c>
      <c r="M6" s="19">
        <f>SUM($K$5:K6)-SUM($J$5:J6)</f>
        <v/>
      </c>
    </row>
    <row r="7">
      <c r="A7" s="8" t="inlineStr">
        <is>
          <t>T3</t>
        </is>
      </c>
      <c r="B7" s="15" t="n">
        <v>850</v>
      </c>
      <c r="C7" s="15" t="n">
        <v>1200</v>
      </c>
      <c r="D7" s="16">
        <f>((B7/AVERAGE($B$5:$B$16))+(C7/AVERAGE($C$5:$C$16)))/2</f>
        <v/>
      </c>
      <c r="E7" s="17">
        <f>$C$21*(1+$C$20)/12*D7</f>
        <v/>
      </c>
      <c r="F7" s="15" t="n">
        <v>1290</v>
      </c>
      <c r="G7" s="17">
        <f>IF(F7="","",ABS(F7-E7))</f>
        <v/>
      </c>
      <c r="H7" s="14">
        <f>IF(F7="","",G7/F7)</f>
        <v/>
      </c>
      <c r="I7" s="18" t="n">
        <v>0.03</v>
      </c>
      <c r="J7" s="17">
        <f>E7*$C$22</f>
        <v/>
      </c>
      <c r="K7" s="17">
        <f>$C$23*I7</f>
        <v/>
      </c>
      <c r="L7" s="19">
        <f>J7-K7</f>
        <v/>
      </c>
      <c r="M7" s="19">
        <f>SUM($K$5:K7)-SUM($J$5:J7)</f>
        <v/>
      </c>
    </row>
    <row r="8">
      <c r="A8" s="8" t="inlineStr">
        <is>
          <t>T4</t>
        </is>
      </c>
      <c r="B8" s="15" t="n">
        <v>900</v>
      </c>
      <c r="C8" s="15" t="n">
        <v>1280</v>
      </c>
      <c r="D8" s="16">
        <f>((B8/AVERAGE($B$5:$B$16))+(C8/AVERAGE($C$5:$C$16)))/2</f>
        <v/>
      </c>
      <c r="E8" s="17">
        <f>$C$21*(1+$C$20)/12*D8</f>
        <v/>
      </c>
      <c r="F8" s="15" t="n">
        <v>1520</v>
      </c>
      <c r="G8" s="17">
        <f>IF(F8="","",ABS(F8-E8))</f>
        <v/>
      </c>
      <c r="H8" s="14">
        <f>IF(F8="","",G8/F8)</f>
        <v/>
      </c>
      <c r="I8" s="18" t="n">
        <v>0.04</v>
      </c>
      <c r="J8" s="17">
        <f>E8*$C$22</f>
        <v/>
      </c>
      <c r="K8" s="17">
        <f>$C$23*I8</f>
        <v/>
      </c>
      <c r="L8" s="19">
        <f>J8-K8</f>
        <v/>
      </c>
      <c r="M8" s="19">
        <f>SUM($K$5:K8)-SUM($J$5:J8)</f>
        <v/>
      </c>
    </row>
    <row r="9">
      <c r="A9" s="8" t="inlineStr">
        <is>
          <t>T5</t>
        </is>
      </c>
      <c r="B9" s="15" t="n">
        <v>980</v>
      </c>
      <c r="C9" s="15" t="n">
        <v>1400</v>
      </c>
      <c r="D9" s="16">
        <f>((B9/AVERAGE($B$5:$B$16))+(C9/AVERAGE($C$5:$C$16)))/2</f>
        <v/>
      </c>
      <c r="E9" s="17">
        <f>$C$21*(1+$C$20)/12*D9</f>
        <v/>
      </c>
      <c r="F9" s="15" t="n">
        <v>1610</v>
      </c>
      <c r="G9" s="17">
        <f>IF(F9="","",ABS(F9-E9))</f>
        <v/>
      </c>
      <c r="H9" s="14">
        <f>IF(F9="","",G9/F9)</f>
        <v/>
      </c>
      <c r="I9" s="18" t="n">
        <v>0.07000000000000001</v>
      </c>
      <c r="J9" s="17">
        <f>E9*$C$22</f>
        <v/>
      </c>
      <c r="K9" s="17">
        <f>$C$23*I9</f>
        <v/>
      </c>
      <c r="L9" s="19">
        <f>J9-K9</f>
        <v/>
      </c>
      <c r="M9" s="19">
        <f>SUM($K$5:K9)-SUM($J$5:J9)</f>
        <v/>
      </c>
    </row>
    <row r="10">
      <c r="A10" s="8" t="inlineStr">
        <is>
          <t>T6</t>
        </is>
      </c>
      <c r="B10" s="15" t="n">
        <v>1050</v>
      </c>
      <c r="C10" s="15" t="n">
        <v>1500</v>
      </c>
      <c r="D10" s="16">
        <f>((B10/AVERAGE($B$5:$B$16))+(C10/AVERAGE($C$5:$C$16)))/2</f>
        <v/>
      </c>
      <c r="E10" s="17">
        <f>$C$21*(1+$C$20)/12*D10</f>
        <v/>
      </c>
      <c r="F10" s="15" t="n">
        <v>1820</v>
      </c>
      <c r="G10" s="17">
        <f>IF(F10="","",ABS(F10-E10))</f>
        <v/>
      </c>
      <c r="H10" s="14">
        <f>IF(F10="","",G10/F10)</f>
        <v/>
      </c>
      <c r="I10" s="18" t="n">
        <v>0.1</v>
      </c>
      <c r="J10" s="17">
        <f>E10*$C$22</f>
        <v/>
      </c>
      <c r="K10" s="17">
        <f>$C$23*I10</f>
        <v/>
      </c>
      <c r="L10" s="19">
        <f>J10-K10</f>
        <v/>
      </c>
      <c r="M10" s="19">
        <f>SUM($K$5:K10)-SUM($J$5:J10)</f>
        <v/>
      </c>
    </row>
    <row r="11">
      <c r="A11" s="8" t="inlineStr">
        <is>
          <t>T7</t>
        </is>
      </c>
      <c r="B11" s="15" t="n">
        <v>1100</v>
      </c>
      <c r="C11" s="15" t="n">
        <v>1560</v>
      </c>
      <c r="D11" s="16">
        <f>((B11/AVERAGE($B$5:$B$16))+(C11/AVERAGE($C$5:$C$16)))/2</f>
        <v/>
      </c>
      <c r="E11" s="17">
        <f>$C$21*(1+$C$20)/12*D11</f>
        <v/>
      </c>
      <c r="F11" s="20" t="n"/>
      <c r="G11" s="17">
        <f>IF(F11="","",ABS(F11-E11))</f>
        <v/>
      </c>
      <c r="H11" s="14">
        <f>IF(F11="","",G11/F11)</f>
        <v/>
      </c>
      <c r="I11" s="18" t="n">
        <v>0.12</v>
      </c>
      <c r="J11" s="17">
        <f>E11*$C$22</f>
        <v/>
      </c>
      <c r="K11" s="17">
        <f>$C$23*I11</f>
        <v/>
      </c>
      <c r="L11" s="19">
        <f>J11-K11</f>
        <v/>
      </c>
      <c r="M11" s="19">
        <f>SUM($K$5:K11)-SUM($J$5:J11)</f>
        <v/>
      </c>
    </row>
    <row r="12">
      <c r="A12" s="8" t="inlineStr">
        <is>
          <t>T8</t>
        </is>
      </c>
      <c r="B12" s="15" t="n">
        <v>1080</v>
      </c>
      <c r="C12" s="15" t="n">
        <v>1530</v>
      </c>
      <c r="D12" s="16">
        <f>((B12/AVERAGE($B$5:$B$16))+(C12/AVERAGE($C$5:$C$16)))/2</f>
        <v/>
      </c>
      <c r="E12" s="17">
        <f>$C$21*(1+$C$20)/12*D12</f>
        <v/>
      </c>
      <c r="F12" s="20" t="n"/>
      <c r="G12" s="17">
        <f>IF(F12="","",ABS(F12-E12))</f>
        <v/>
      </c>
      <c r="H12" s="14">
        <f>IF(F12="","",G12/F12)</f>
        <v/>
      </c>
      <c r="I12" s="18" t="n">
        <v>0.13</v>
      </c>
      <c r="J12" s="17">
        <f>E12*$C$22</f>
        <v/>
      </c>
      <c r="K12" s="17">
        <f>$C$23*I12</f>
        <v/>
      </c>
      <c r="L12" s="19">
        <f>J12-K12</f>
        <v/>
      </c>
      <c r="M12" s="19">
        <f>SUM($K$5:K12)-SUM($J$5:J12)</f>
        <v/>
      </c>
    </row>
    <row r="13">
      <c r="A13" s="8" t="inlineStr">
        <is>
          <t>T9</t>
        </is>
      </c>
      <c r="B13" s="15" t="n">
        <v>950</v>
      </c>
      <c r="C13" s="15" t="n">
        <v>1350</v>
      </c>
      <c r="D13" s="16">
        <f>((B13/AVERAGE($B$5:$B$16))+(C13/AVERAGE($C$5:$C$16)))/2</f>
        <v/>
      </c>
      <c r="E13" s="17">
        <f>$C$21*(1+$C$20)/12*D13</f>
        <v/>
      </c>
      <c r="F13" s="20" t="n"/>
      <c r="G13" s="17">
        <f>IF(F13="","",ABS(F13-E13))</f>
        <v/>
      </c>
      <c r="H13" s="14">
        <f>IF(F13="","",G13/F13)</f>
        <v/>
      </c>
      <c r="I13" s="18" t="n">
        <v>0.13</v>
      </c>
      <c r="J13" s="17">
        <f>E13*$C$22</f>
        <v/>
      </c>
      <c r="K13" s="17">
        <f>$C$23*I13</f>
        <v/>
      </c>
      <c r="L13" s="19">
        <f>J13-K13</f>
        <v/>
      </c>
      <c r="M13" s="19">
        <f>SUM($K$5:K13)-SUM($J$5:J13)</f>
        <v/>
      </c>
    </row>
    <row r="14">
      <c r="A14" s="8" t="inlineStr">
        <is>
          <t>T10</t>
        </is>
      </c>
      <c r="B14" s="15" t="n">
        <v>900</v>
      </c>
      <c r="C14" s="15" t="n">
        <v>1290</v>
      </c>
      <c r="D14" s="16">
        <f>((B14/AVERAGE($B$5:$B$16))+(C14/AVERAGE($C$5:$C$16)))/2</f>
        <v/>
      </c>
      <c r="E14" s="17">
        <f>$C$21*(1+$C$20)/12*D14</f>
        <v/>
      </c>
      <c r="F14" s="20" t="n"/>
      <c r="G14" s="17">
        <f>IF(F14="","",ABS(F14-E14))</f>
        <v/>
      </c>
      <c r="H14" s="14">
        <f>IF(F14="","",G14/F14)</f>
        <v/>
      </c>
      <c r="I14" s="18" t="n">
        <v>0.12</v>
      </c>
      <c r="J14" s="17">
        <f>E14*$C$22</f>
        <v/>
      </c>
      <c r="K14" s="17">
        <f>$C$23*I14</f>
        <v/>
      </c>
      <c r="L14" s="19">
        <f>J14-K14</f>
        <v/>
      </c>
      <c r="M14" s="19">
        <f>SUM($K$5:K14)-SUM($J$5:J14)</f>
        <v/>
      </c>
    </row>
    <row r="15">
      <c r="A15" s="8" t="inlineStr">
        <is>
          <t>T11</t>
        </is>
      </c>
      <c r="B15" s="15" t="n">
        <v>860</v>
      </c>
      <c r="C15" s="15" t="n">
        <v>1220</v>
      </c>
      <c r="D15" s="16">
        <f>((B15/AVERAGE($B$5:$B$16))+(C15/AVERAGE($C$5:$C$16)))/2</f>
        <v/>
      </c>
      <c r="E15" s="17">
        <f>$C$21*(1+$C$20)/12*D15</f>
        <v/>
      </c>
      <c r="F15" s="20" t="n"/>
      <c r="G15" s="17">
        <f>IF(F15="","",ABS(F15-E15))</f>
        <v/>
      </c>
      <c r="H15" s="14">
        <f>IF(F15="","",G15/F15)</f>
        <v/>
      </c>
      <c r="I15" s="18" t="n">
        <v>0.1</v>
      </c>
      <c r="J15" s="17">
        <f>E15*$C$22</f>
        <v/>
      </c>
      <c r="K15" s="17">
        <f>$C$23*I15</f>
        <v/>
      </c>
      <c r="L15" s="19">
        <f>J15-K15</f>
        <v/>
      </c>
      <c r="M15" s="19">
        <f>SUM($K$5:K15)-SUM($J$5:J15)</f>
        <v/>
      </c>
    </row>
    <row r="16">
      <c r="A16" s="8" t="inlineStr">
        <is>
          <t>T12</t>
        </is>
      </c>
      <c r="B16" s="15" t="n">
        <v>930</v>
      </c>
      <c r="C16" s="15" t="n">
        <v>1320</v>
      </c>
      <c r="D16" s="16">
        <f>((B16/AVERAGE($B$5:$B$16))+(C16/AVERAGE($C$5:$C$16)))/2</f>
        <v/>
      </c>
      <c r="E16" s="17">
        <f>$C$21*(1+$C$20)/12*D16</f>
        <v/>
      </c>
      <c r="F16" s="20" t="n"/>
      <c r="G16" s="17">
        <f>IF(F16="","",ABS(F16-E16))</f>
        <v/>
      </c>
      <c r="H16" s="14">
        <f>IF(F16="","",G16/F16)</f>
        <v/>
      </c>
      <c r="I16" s="18" t="n">
        <v>0.09</v>
      </c>
      <c r="J16" s="17">
        <f>E16*$C$22</f>
        <v/>
      </c>
      <c r="K16" s="17">
        <f>$C$23*I16</f>
        <v/>
      </c>
      <c r="L16" s="19">
        <f>J16-K16</f>
        <v/>
      </c>
      <c r="M16" s="19">
        <f>SUM($K$5:K16)-SUM($J$5:J16)</f>
        <v/>
      </c>
    </row>
    <row r="17">
      <c r="A17" s="21" t="inlineStr">
        <is>
          <t>Tổng</t>
        </is>
      </c>
      <c r="B17" s="17">
        <f>SUM(B5:B16)</f>
        <v/>
      </c>
      <c r="C17" s="17">
        <f>SUM(C5:C16)</f>
        <v/>
      </c>
      <c r="E17" s="17">
        <f>SUM(E5:E16)</f>
        <v/>
      </c>
      <c r="J17" s="17">
        <f>SUM(J5:J16)</f>
        <v/>
      </c>
      <c r="K17" s="17">
        <f>SUM(K5:K16)</f>
        <v/>
      </c>
      <c r="L17" s="17">
        <f>SUM(L5:L16)</f>
        <v/>
      </c>
    </row>
    <row r="20">
      <c r="A20" s="8" t="inlineStr">
        <is>
          <t>Tăng trưởng 2026 giả định</t>
        </is>
      </c>
      <c r="B20" s="22" t="n"/>
      <c r="C20" s="18" t="n">
        <v>0.12</v>
      </c>
    </row>
    <row r="21">
      <c r="A21" s="8" t="inlineStr">
        <is>
          <t>Tổng bán 2025 (t)</t>
        </is>
      </c>
      <c r="B21" s="22" t="n"/>
      <c r="C21" s="17">
        <f>C17</f>
        <v/>
      </c>
    </row>
    <row r="22">
      <c r="A22" s="8" t="inlineStr">
        <is>
          <t>Định mức quả tươi / kg puree</t>
        </is>
      </c>
      <c r="B22" s="22" t="n"/>
      <c r="C22" s="23" t="n">
        <v>2.8</v>
      </c>
    </row>
    <row r="23">
      <c r="A23" s="8" t="inlineStr">
        <is>
          <t>Quả tươi ký hợp đồng cả năm (t)</t>
        </is>
      </c>
      <c r="B23" s="22" t="n"/>
      <c r="C23" s="15" t="n">
        <v>50000</v>
      </c>
    </row>
    <row r="25">
      <c r="A25" s="8" t="inlineStr">
        <is>
          <t>MAPE 6T/2026</t>
        </is>
      </c>
      <c r="B25" s="22" t="n"/>
      <c r="C25" s="14">
        <f>AVERAGE(H5:H16)</f>
        <v/>
      </c>
    </row>
    <row r="26">
      <c r="A26" s="8" t="inlineStr">
        <is>
          <t>Bias (Σ dự báo − Σ thực tế)/Σ thực tế (6T)</t>
        </is>
      </c>
      <c r="B26" s="22" t="n"/>
      <c r="C26" s="24">
        <f>(SUMPRODUCT((F5:F16&lt;&gt;"")*E5:E16)-SUM(F5:F16))/SUM(F5:F16)</f>
        <v/>
      </c>
    </row>
    <row r="27">
      <c r="A27" s="8" t="inlineStr">
        <is>
          <t>Tồn đầu năm cần có (quy đổi t quả) để không đứt hàng</t>
        </is>
      </c>
      <c r="B27" s="22" t="n"/>
      <c r="C27" s="17">
        <f>MAX(0,-MIN(M5:M16))</f>
        <v/>
      </c>
    </row>
    <row r="29" ht="30" customHeight="1">
      <c r="A29" s="10" t="inlineStr">
        <is>
          <t>Câu hỏi thảo luận: (1) Bias dương hay âm? Ai trong S&amp;OP đang 'đẩy' số? (2) Tháng nào phải chạy tồn kho đệm vì quả không đủ? (3) Nếu đợt vụ đầu chỉ đạt 25% thay vì 40% như 2025 thì sao?</t>
        </is>
      </c>
    </row>
    <row r="30"/>
  </sheetData>
  <mergeCells count="8">
    <mergeCell ref="A29:L30"/>
    <mergeCell ref="A20:B20"/>
    <mergeCell ref="A21:B21"/>
    <mergeCell ref="A26:B26"/>
    <mergeCell ref="A25:B25"/>
    <mergeCell ref="A23:B23"/>
    <mergeCell ref="A27:B27"/>
    <mergeCell ref="A22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18" customWidth="1" min="3" max="3"/>
    <col width="18" customWidth="1" min="4" max="4"/>
    <col width="48" customWidth="1" min="5" max="5"/>
  </cols>
  <sheetData>
    <row r="1">
      <c r="A1" s="1" t="inlineStr">
        <is>
          <t>B28 – Bóc tách giá vốn / kg thành phẩm</t>
        </is>
      </c>
    </row>
    <row r="2">
      <c r="A2" s="2" t="inlineStr">
        <is>
          <t>Toàn bộ đơn giá là GIẢ ĐỊNH huấn luyện. Đơn vị VND/kg thành phẩm.</t>
        </is>
      </c>
    </row>
    <row r="4">
      <c r="A4" s="7" t="inlineStr">
        <is>
          <t>Khoản mục</t>
        </is>
      </c>
      <c r="B4" s="7" t="inlineStr">
        <is>
          <t>Puree chanh leo (aseptic)</t>
        </is>
      </c>
      <c r="C4" s="7" t="inlineStr">
        <is>
          <t>Mít sấy – tự SX</t>
        </is>
      </c>
      <c r="D4" s="7" t="inlineStr">
        <is>
          <t>Mít sấy – gia công</t>
        </is>
      </c>
      <c r="E4" s="7" t="inlineStr">
        <is>
          <t>Ghi chú / cách lấy số</t>
        </is>
      </c>
    </row>
    <row r="5">
      <c r="A5" s="8" t="inlineStr">
        <is>
          <t>Giá quả tươi (VND/kg quả)</t>
        </is>
      </c>
      <c r="B5" s="15" t="n">
        <v>9000</v>
      </c>
      <c r="C5" s="15" t="n">
        <v>6000</v>
      </c>
      <c r="D5" s="20" t="n"/>
      <c r="E5" t="inlineStr">
        <is>
          <t>Giá thu mua bình quân gia quyền theo vụ</t>
        </is>
      </c>
    </row>
    <row r="6">
      <c r="A6" s="8" t="inlineStr">
        <is>
          <t>Định mức quả / kg TP</t>
        </is>
      </c>
      <c r="B6" s="25" t="n">
        <v>2.8</v>
      </c>
      <c r="C6" s="25" t="n">
        <v>10</v>
      </c>
      <c r="D6" s="26" t="n"/>
      <c r="E6" t="inlineStr">
        <is>
          <t>Yield: puree ~36%; mít sấy giòn ~1:10 quả nguyên</t>
        </is>
      </c>
    </row>
    <row r="7">
      <c r="A7" s="8" t="inlineStr">
        <is>
          <t>1. NVL chính</t>
        </is>
      </c>
      <c r="B7" s="17">
        <f>B5*B6</f>
        <v/>
      </c>
      <c r="C7" s="17">
        <f>C5*C6</f>
        <v/>
      </c>
      <c r="D7" s="20" t="n"/>
      <c r="E7" t="inlineStr">
        <is>
          <t>Giá quả × định mức</t>
        </is>
      </c>
    </row>
    <row r="8">
      <c r="A8" s="8" t="inlineStr">
        <is>
          <t>2. Bao bì</t>
        </is>
      </c>
      <c r="B8" s="15" t="n">
        <v>2500</v>
      </c>
      <c r="C8" s="15" t="n">
        <v>9000</v>
      </c>
      <c r="D8" s="15" t="n">
        <v>9000</v>
      </c>
      <c r="E8" t="inlineStr">
        <is>
          <t>Túi aseptic + phuy / túi zip + thùng</t>
        </is>
      </c>
    </row>
    <row r="9">
      <c r="A9" s="8" t="inlineStr">
        <is>
          <t>3. Nhân công trực tiếp</t>
        </is>
      </c>
      <c r="B9" s="15" t="n">
        <v>1200</v>
      </c>
      <c r="C9" s="15" t="n">
        <v>8000</v>
      </c>
      <c r="D9" s="20" t="n"/>
      <c r="E9" t="inlineStr"/>
    </row>
    <row r="10">
      <c r="A10" s="8" t="inlineStr">
        <is>
          <t>4. Năng lượng (hơi, điện, dầu chiên, lạnh)</t>
        </is>
      </c>
      <c r="B10" s="15" t="n">
        <v>1800</v>
      </c>
      <c r="C10" s="15" t="n">
        <v>12000</v>
      </c>
      <c r="D10" s="20" t="n"/>
      <c r="E10" t="inlineStr"/>
    </row>
    <row r="11">
      <c r="A11" s="8" t="inlineStr">
        <is>
          <t>5. SXC cố định phân bổ (khấu hao, bảo trì)</t>
        </is>
      </c>
      <c r="B11" s="15" t="n">
        <v>2500</v>
      </c>
      <c r="C11" s="15" t="n">
        <v>10000</v>
      </c>
      <c r="D11" s="20" t="n"/>
      <c r="E11" t="inlineStr">
        <is>
          <t>Theo công suất bình thường – xem B29</t>
        </is>
      </c>
    </row>
    <row r="12">
      <c r="A12" s="8" t="inlineStr">
        <is>
          <t>6. Phí gia công trả đối tác</t>
        </is>
      </c>
      <c r="B12" s="20" t="n"/>
      <c r="C12" s="20" t="n"/>
      <c r="D12" s="15" t="n">
        <v>125000</v>
      </c>
      <c r="E12" t="inlineStr">
        <is>
          <t>Bao gồm NVL+NC+SXC của bên gia công</t>
        </is>
      </c>
    </row>
    <row r="13">
      <c r="A13" s="8" t="inlineStr">
        <is>
          <t>7. Hao hụt / QA reject</t>
        </is>
      </c>
      <c r="B13" s="17">
        <f>SUM(B7:B10)*0.02</f>
        <v/>
      </c>
      <c r="C13" s="17">
        <f>SUM(C7:C10)*0.03</f>
        <v/>
      </c>
      <c r="D13" s="17">
        <f>D11*0.01</f>
        <v/>
      </c>
      <c r="E13" t="inlineStr">
        <is>
          <t>2–3% chi phí</t>
        </is>
      </c>
    </row>
    <row r="14">
      <c r="A14" s="21" t="inlineStr">
        <is>
          <t>GIÁ VỐN / kg TP</t>
        </is>
      </c>
      <c r="B14" s="17">
        <f>SUM(B7:B13)</f>
        <v/>
      </c>
      <c r="C14" s="17">
        <f>SUM(C7:C13)</f>
        <v/>
      </c>
      <c r="D14" s="17">
        <f>SUM(D7:D13)</f>
        <v/>
      </c>
    </row>
    <row r="15">
      <c r="A15" s="8" t="inlineStr">
        <is>
          <t>Giá bán FOB (VND/kg)</t>
        </is>
      </c>
      <c r="B15" s="15" t="n">
        <v>44000</v>
      </c>
      <c r="C15" s="15" t="n">
        <v>180000</v>
      </c>
      <c r="D15" s="15" t="n">
        <v>180000</v>
      </c>
    </row>
    <row r="16">
      <c r="A16" s="8" t="inlineStr">
        <is>
          <t>Biên LN gộp</t>
        </is>
      </c>
      <c r="B16" s="14">
        <f>1-B14/B15</f>
        <v/>
      </c>
      <c r="C16" s="14">
        <f>1-C14/C15</f>
        <v/>
      </c>
      <c r="D16" s="14">
        <f>1-D14/D15</f>
        <v/>
      </c>
    </row>
    <row r="17">
      <c r="A17" s="8" t="inlineStr">
        <is>
          <t>Tỷ trọng NVL chính trong giá vốn</t>
        </is>
      </c>
      <c r="B17" s="14">
        <f>B7/B14</f>
        <v/>
      </c>
      <c r="C17" s="14">
        <f>C7/C14</f>
        <v/>
      </c>
    </row>
    <row r="19">
      <c r="A19" s="8" t="inlineStr">
        <is>
          <t>Độ nhạy: giá quả chanh leo +1.000 VND/kg → giá vốn puree tăng (VND/kg)</t>
        </is>
      </c>
      <c r="B19" s="17">
        <f>1000*B6</f>
        <v/>
      </c>
    </row>
    <row r="20">
      <c r="A20" s="8" t="inlineStr">
        <is>
          <t>Make-vs-Buy mít sấy: chênh lệch giá vốn gia công − tự SX (VND/kg)</t>
        </is>
      </c>
      <c r="B20" s="17">
        <f>D14-C14</f>
        <v/>
      </c>
    </row>
    <row r="21">
      <c r="A21" s="8" t="inlineStr">
        <is>
          <t>Sản lượng mít sấy chuyển từ gia công về tự SX (tấn)</t>
        </is>
      </c>
      <c r="B21" s="15" t="n">
        <v>1000</v>
      </c>
    </row>
    <row r="22">
      <c r="A22" s="8" t="inlineStr">
        <is>
          <t>→ Lãi gộp tăng thêm (tỷ VND)</t>
        </is>
      </c>
      <c r="B22" s="12">
        <f>B20*B21*1000/1e9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B29 – Phân bổ SXC cố định &amp; chi phí năng lực nhàn rỗi (nhà máy Gia Lai)</t>
        </is>
      </c>
    </row>
    <row r="2">
      <c r="A2" s="2" t="inlineStr">
        <is>
          <t>Công suất thiết kế 100.000 t quả/năm là số public; chi phí SXC &amp; sản lượng theo tháng là GIẢ ĐỊNH.</t>
        </is>
      </c>
    </row>
    <row r="4">
      <c r="A4" s="8" t="inlineStr">
        <is>
          <t>Công suất thiết kế (t quả/năm)</t>
        </is>
      </c>
      <c r="B4" s="22" t="n"/>
      <c r="C4" s="27" t="n">
        <v>100000</v>
      </c>
    </row>
    <row r="5">
      <c r="A5" s="8" t="inlineStr">
        <is>
          <t>Công suất bình thường (% thiết kế)</t>
        </is>
      </c>
      <c r="B5" s="22" t="n"/>
      <c r="C5" s="18" t="n">
        <v>0.75</v>
      </c>
    </row>
    <row r="6">
      <c r="A6" s="8" t="inlineStr">
        <is>
          <t>SXC cố định cả năm (tỷ VND)</t>
        </is>
      </c>
      <c r="B6" s="22" t="n"/>
      <c r="C6" s="28" t="n">
        <v>72</v>
      </c>
    </row>
    <row r="7">
      <c r="A7" s="8" t="inlineStr">
        <is>
          <t>Đơn giá phân bổ chuẩn (VND/t quả)</t>
        </is>
      </c>
      <c r="B7" s="22" t="n"/>
      <c r="C7" s="17">
        <f>C6*1e9/(C4*C5)</f>
        <v/>
      </c>
    </row>
    <row r="9">
      <c r="A9" s="7" t="inlineStr">
        <is>
          <t>Tháng</t>
        </is>
      </c>
      <c r="B9" s="7" t="inlineStr">
        <is>
          <t>Chanh leo (t)</t>
        </is>
      </c>
      <c r="C9" s="7" t="inlineStr">
        <is>
          <t>Dứa (t)</t>
        </is>
      </c>
      <c r="D9" s="7" t="inlineStr">
        <is>
          <t>Mít (t)</t>
        </is>
      </c>
      <c r="E9" s="7" t="inlineStr">
        <is>
          <t>Xoài/chuối/khác (t)</t>
        </is>
      </c>
      <c r="F9" s="7" t="inlineStr">
        <is>
          <t>Tổng chế biến (t)</t>
        </is>
      </c>
      <c r="G9" s="7" t="inlineStr">
        <is>
          <t>Công suất tháng (t)</t>
        </is>
      </c>
      <c r="H9" s="7" t="inlineStr">
        <is>
          <t>Hiệu suất sử dụng</t>
        </is>
      </c>
      <c r="I9" s="7" t="inlineStr">
        <is>
          <t>SXC phân bổ vào SP (tr VND)</t>
        </is>
      </c>
      <c r="J9" s="7" t="inlineStr">
        <is>
          <t>SXC phát sinh (tr VND)</t>
        </is>
      </c>
      <c r="K9" s="7" t="inlineStr">
        <is>
          <t>Chênh lệch (tr VND)</t>
        </is>
      </c>
    </row>
    <row r="10">
      <c r="A10" s="8" t="inlineStr">
        <is>
          <t>T1</t>
        </is>
      </c>
      <c r="B10" s="15" t="n">
        <v>1600</v>
      </c>
      <c r="C10" s="15" t="n">
        <v>900</v>
      </c>
      <c r="D10" s="15" t="n">
        <v>500</v>
      </c>
      <c r="E10" s="15" t="n">
        <v>300</v>
      </c>
      <c r="F10" s="17">
        <f>SUM(B10:E10)</f>
        <v/>
      </c>
      <c r="G10" s="17">
        <f>$C$4/12</f>
        <v/>
      </c>
      <c r="H10" s="29">
        <f>F10/G10</f>
        <v/>
      </c>
      <c r="I10" s="17">
        <f>F10*$C$7/1e6</f>
        <v/>
      </c>
      <c r="J10" s="17">
        <f>$C$6*1000/12</f>
        <v/>
      </c>
      <c r="K10" s="19">
        <f>I10-J10</f>
        <v/>
      </c>
    </row>
    <row r="11">
      <c r="A11" s="8" t="inlineStr">
        <is>
          <t>T2</t>
        </is>
      </c>
      <c r="B11" s="15" t="n">
        <v>1200</v>
      </c>
      <c r="C11" s="15" t="n">
        <v>1100</v>
      </c>
      <c r="D11" s="15" t="n">
        <v>500</v>
      </c>
      <c r="E11" s="15" t="n">
        <v>300</v>
      </c>
      <c r="F11" s="17">
        <f>SUM(B11:E11)</f>
        <v/>
      </c>
      <c r="G11" s="17">
        <f>$C$4/12</f>
        <v/>
      </c>
      <c r="H11" s="29">
        <f>F11/G11</f>
        <v/>
      </c>
      <c r="I11" s="17">
        <f>F11*$C$7/1e6</f>
        <v/>
      </c>
      <c r="J11" s="17">
        <f>$C$6*1000/12</f>
        <v/>
      </c>
      <c r="K11" s="19">
        <f>I11-J11</f>
        <v/>
      </c>
    </row>
    <row r="12">
      <c r="A12" s="8" t="inlineStr">
        <is>
          <t>T3</t>
        </is>
      </c>
      <c r="B12" s="15" t="n">
        <v>1200</v>
      </c>
      <c r="C12" s="15" t="n">
        <v>1300</v>
      </c>
      <c r="D12" s="15" t="n">
        <v>700</v>
      </c>
      <c r="E12" s="15" t="n">
        <v>400</v>
      </c>
      <c r="F12" s="17">
        <f>SUM(B12:E12)</f>
        <v/>
      </c>
      <c r="G12" s="17">
        <f>$C$4/12</f>
        <v/>
      </c>
      <c r="H12" s="29">
        <f>F12/G12</f>
        <v/>
      </c>
      <c r="I12" s="17">
        <f>F12*$C$7/1e6</f>
        <v/>
      </c>
      <c r="J12" s="17">
        <f>$C$6*1000/12</f>
        <v/>
      </c>
      <c r="K12" s="19">
        <f>I12-J12</f>
        <v/>
      </c>
    </row>
    <row r="13">
      <c r="A13" s="8" t="inlineStr">
        <is>
          <t>T4</t>
        </is>
      </c>
      <c r="B13" s="15" t="n">
        <v>1600</v>
      </c>
      <c r="C13" s="15" t="n">
        <v>1400</v>
      </c>
      <c r="D13" s="15" t="n">
        <v>900</v>
      </c>
      <c r="E13" s="15" t="n">
        <v>600</v>
      </c>
      <c r="F13" s="17">
        <f>SUM(B13:E13)</f>
        <v/>
      </c>
      <c r="G13" s="17">
        <f>$C$4/12</f>
        <v/>
      </c>
      <c r="H13" s="29">
        <f>F13/G13</f>
        <v/>
      </c>
      <c r="I13" s="17">
        <f>F13*$C$7/1e6</f>
        <v/>
      </c>
      <c r="J13" s="17">
        <f>$C$6*1000/12</f>
        <v/>
      </c>
      <c r="K13" s="19">
        <f>I13-J13</f>
        <v/>
      </c>
    </row>
    <row r="14">
      <c r="A14" s="8" t="inlineStr">
        <is>
          <t>T5</t>
        </is>
      </c>
      <c r="B14" s="15" t="n">
        <v>2800</v>
      </c>
      <c r="C14" s="15" t="n">
        <v>1200</v>
      </c>
      <c r="D14" s="15" t="n">
        <v>1000</v>
      </c>
      <c r="E14" s="15" t="n">
        <v>900</v>
      </c>
      <c r="F14" s="17">
        <f>SUM(B14:E14)</f>
        <v/>
      </c>
      <c r="G14" s="17">
        <f>$C$4/12</f>
        <v/>
      </c>
      <c r="H14" s="29">
        <f>F14/G14</f>
        <v/>
      </c>
      <c r="I14" s="17">
        <f>F14*$C$7/1e6</f>
        <v/>
      </c>
      <c r="J14" s="17">
        <f>$C$6*1000/12</f>
        <v/>
      </c>
      <c r="K14" s="19">
        <f>I14-J14</f>
        <v/>
      </c>
    </row>
    <row r="15">
      <c r="A15" s="8" t="inlineStr">
        <is>
          <t>T6</t>
        </is>
      </c>
      <c r="B15" s="15" t="n">
        <v>4000</v>
      </c>
      <c r="C15" s="15" t="n">
        <v>900</v>
      </c>
      <c r="D15" s="15" t="n">
        <v>900</v>
      </c>
      <c r="E15" s="15" t="n">
        <v>800</v>
      </c>
      <c r="F15" s="17">
        <f>SUM(B15:E15)</f>
        <v/>
      </c>
      <c r="G15" s="17">
        <f>$C$4/12</f>
        <v/>
      </c>
      <c r="H15" s="29">
        <f>F15/G15</f>
        <v/>
      </c>
      <c r="I15" s="17">
        <f>F15*$C$7/1e6</f>
        <v/>
      </c>
      <c r="J15" s="17">
        <f>$C$6*1000/12</f>
        <v/>
      </c>
      <c r="K15" s="19">
        <f>I15-J15</f>
        <v/>
      </c>
    </row>
    <row r="16">
      <c r="A16" s="8" t="inlineStr">
        <is>
          <t>T7</t>
        </is>
      </c>
      <c r="B16" s="15" t="n">
        <v>4800</v>
      </c>
      <c r="C16" s="15" t="n">
        <v>700</v>
      </c>
      <c r="D16" s="15" t="n">
        <v>700</v>
      </c>
      <c r="E16" s="15" t="n">
        <v>500</v>
      </c>
      <c r="F16" s="17">
        <f>SUM(B16:E16)</f>
        <v/>
      </c>
      <c r="G16" s="17">
        <f>$C$4/12</f>
        <v/>
      </c>
      <c r="H16" s="29">
        <f>F16/G16</f>
        <v/>
      </c>
      <c r="I16" s="17">
        <f>F16*$C$7/1e6</f>
        <v/>
      </c>
      <c r="J16" s="17">
        <f>$C$6*1000/12</f>
        <v/>
      </c>
      <c r="K16" s="19">
        <f>I16-J16</f>
        <v/>
      </c>
    </row>
    <row r="17">
      <c r="A17" s="8" t="inlineStr">
        <is>
          <t>T8</t>
        </is>
      </c>
      <c r="B17" s="15" t="n">
        <v>5200</v>
      </c>
      <c r="C17" s="15" t="n">
        <v>600</v>
      </c>
      <c r="D17" s="15" t="n">
        <v>500</v>
      </c>
      <c r="E17" s="15" t="n">
        <v>300</v>
      </c>
      <c r="F17" s="17">
        <f>SUM(B17:E17)</f>
        <v/>
      </c>
      <c r="G17" s="17">
        <f>$C$4/12</f>
        <v/>
      </c>
      <c r="H17" s="29">
        <f>F17/G17</f>
        <v/>
      </c>
      <c r="I17" s="17">
        <f>F17*$C$7/1e6</f>
        <v/>
      </c>
      <c r="J17" s="17">
        <f>$C$6*1000/12</f>
        <v/>
      </c>
      <c r="K17" s="19">
        <f>I17-J17</f>
        <v/>
      </c>
    </row>
    <row r="18">
      <c r="A18" s="8" t="inlineStr">
        <is>
          <t>T9</t>
        </is>
      </c>
      <c r="B18" s="15" t="n">
        <v>5200</v>
      </c>
      <c r="C18" s="15" t="n">
        <v>600</v>
      </c>
      <c r="D18" s="15" t="n">
        <v>400</v>
      </c>
      <c r="E18" s="15" t="n">
        <v>200</v>
      </c>
      <c r="F18" s="17">
        <f>SUM(B18:E18)</f>
        <v/>
      </c>
      <c r="G18" s="17">
        <f>$C$4/12</f>
        <v/>
      </c>
      <c r="H18" s="29">
        <f>F18/G18</f>
        <v/>
      </c>
      <c r="I18" s="17">
        <f>F18*$C$7/1e6</f>
        <v/>
      </c>
      <c r="J18" s="17">
        <f>$C$6*1000/12</f>
        <v/>
      </c>
      <c r="K18" s="19">
        <f>I18-J18</f>
        <v/>
      </c>
    </row>
    <row r="19">
      <c r="A19" s="8" t="inlineStr">
        <is>
          <t>T10</t>
        </is>
      </c>
      <c r="B19" s="15" t="n">
        <v>4800</v>
      </c>
      <c r="C19" s="15" t="n">
        <v>700</v>
      </c>
      <c r="D19" s="15" t="n">
        <v>400</v>
      </c>
      <c r="E19" s="15" t="n">
        <v>200</v>
      </c>
      <c r="F19" s="17">
        <f>SUM(B19:E19)</f>
        <v/>
      </c>
      <c r="G19" s="17">
        <f>$C$4/12</f>
        <v/>
      </c>
      <c r="H19" s="29">
        <f>F19/G19</f>
        <v/>
      </c>
      <c r="I19" s="17">
        <f>F19*$C$7/1e6</f>
        <v/>
      </c>
      <c r="J19" s="17">
        <f>$C$6*1000/12</f>
        <v/>
      </c>
      <c r="K19" s="19">
        <f>I19-J19</f>
        <v/>
      </c>
    </row>
    <row r="20">
      <c r="A20" s="8" t="inlineStr">
        <is>
          <t>T11</t>
        </is>
      </c>
      <c r="B20" s="15" t="n">
        <v>4000</v>
      </c>
      <c r="C20" s="15" t="n">
        <v>800</v>
      </c>
      <c r="D20" s="15" t="n">
        <v>400</v>
      </c>
      <c r="E20" s="15" t="n">
        <v>200</v>
      </c>
      <c r="F20" s="17">
        <f>SUM(B20:E20)</f>
        <v/>
      </c>
      <c r="G20" s="17">
        <f>$C$4/12</f>
        <v/>
      </c>
      <c r="H20" s="29">
        <f>F20/G20</f>
        <v/>
      </c>
      <c r="I20" s="17">
        <f>F20*$C$7/1e6</f>
        <v/>
      </c>
      <c r="J20" s="17">
        <f>$C$6*1000/12</f>
        <v/>
      </c>
      <c r="K20" s="19">
        <f>I20-J20</f>
        <v/>
      </c>
    </row>
    <row r="21">
      <c r="A21" s="8" t="inlineStr">
        <is>
          <t>T12</t>
        </is>
      </c>
      <c r="B21" s="15" t="n">
        <v>3600</v>
      </c>
      <c r="C21" s="15" t="n">
        <v>900</v>
      </c>
      <c r="D21" s="15" t="n">
        <v>500</v>
      </c>
      <c r="E21" s="15" t="n">
        <v>300</v>
      </c>
      <c r="F21" s="17">
        <f>SUM(B21:E21)</f>
        <v/>
      </c>
      <c r="G21" s="17">
        <f>$C$4/12</f>
        <v/>
      </c>
      <c r="H21" s="29">
        <f>F21/G21</f>
        <v/>
      </c>
      <c r="I21" s="17">
        <f>F21*$C$7/1e6</f>
        <v/>
      </c>
      <c r="J21" s="17">
        <f>$C$6*1000/12</f>
        <v/>
      </c>
      <c r="K21" s="19">
        <f>I21-J21</f>
        <v/>
      </c>
    </row>
    <row r="22">
      <c r="A22" s="21" t="inlineStr">
        <is>
          <t>Cả năm</t>
        </is>
      </c>
      <c r="B22" s="19">
        <f>SUM(B10:B21)</f>
        <v/>
      </c>
      <c r="C22" s="19">
        <f>SUM(C10:C21)</f>
        <v/>
      </c>
      <c r="D22" s="19">
        <f>SUM(D10:D21)</f>
        <v/>
      </c>
      <c r="E22" s="19">
        <f>SUM(E10:E21)</f>
        <v/>
      </c>
      <c r="F22" s="19">
        <f>SUM(F10:F21)</f>
        <v/>
      </c>
      <c r="G22" s="19">
        <f>SUM(G10:G21)</f>
        <v/>
      </c>
      <c r="H22" s="29">
        <f>F22/G22</f>
        <v/>
      </c>
      <c r="I22" s="19">
        <f>SUM(I10:I21)</f>
        <v/>
      </c>
      <c r="J22" s="19">
        <f>SUM(J10:J21)</f>
        <v/>
      </c>
      <c r="K22" s="19">
        <f>SUM(K10:K21)</f>
        <v/>
      </c>
    </row>
    <row r="24">
      <c r="A24" s="8" t="inlineStr">
        <is>
          <t>Theo VAS 02: SXC cố định không phân bổ hết (dưới công suất bình thường) ghi vào giá vốn trong kỳ</t>
        </is>
      </c>
      <c r="B24" s="30" t="n"/>
      <c r="C24" s="30" t="n"/>
      <c r="D24" s="30" t="n"/>
      <c r="E24" s="30" t="n"/>
      <c r="F24" s="30" t="n"/>
      <c r="G24" s="30" t="n"/>
      <c r="H24" s="22" t="n"/>
    </row>
    <row r="25">
      <c r="A25" s="8" t="inlineStr">
        <is>
          <t>Chi phí nhàn rỗi ghi nhận vào P&amp;L cả năm (tỷ VND)</t>
        </is>
      </c>
      <c r="B25" s="30" t="n"/>
      <c r="C25" s="30" t="n"/>
      <c r="D25" s="30" t="n"/>
      <c r="E25" s="30" t="n"/>
      <c r="F25" s="30" t="n"/>
      <c r="G25" s="30" t="n"/>
      <c r="H25" s="22" t="n"/>
      <c r="I25" s="12">
        <f>MAX(0,C6-F22*C7/1e9)</f>
        <v/>
      </c>
    </row>
    <row r="26">
      <c r="A26" s="8" t="inlineStr">
        <is>
          <t>Kịch bản: chỉ chạy chanh leo (bỏ dứa, mít, khác) → chi phí nhàn rỗi (tỷ VND)</t>
        </is>
      </c>
      <c r="B26" s="30" t="n"/>
      <c r="C26" s="30" t="n"/>
      <c r="D26" s="30" t="n"/>
      <c r="E26" s="30" t="n"/>
      <c r="F26" s="30" t="n"/>
      <c r="G26" s="30" t="n"/>
      <c r="H26" s="22" t="n"/>
      <c r="I26" s="12">
        <f>MAX(0,C6-B22*C7/1e9)</f>
        <v/>
      </c>
    </row>
    <row r="28" ht="30" customHeight="1">
      <c r="A28" s="10" t="inlineStr">
        <is>
          <t>Thảo luận: Vì sao chiến lược đa trái cây (dứa +731%, mít sấy &gt;300 tỷ năm 2025) là bài toán lấp đầy công suất trái vụ? Tháng nào nên nhận gia công cho bên ngoài?</t>
        </is>
      </c>
    </row>
    <row r="29"/>
  </sheetData>
  <mergeCells count="8">
    <mergeCell ref="A4:B4"/>
    <mergeCell ref="A26:H26"/>
    <mergeCell ref="A7:B7"/>
    <mergeCell ref="A28:K29"/>
    <mergeCell ref="A25:H25"/>
    <mergeCell ref="A24:H24"/>
    <mergeCell ref="A5:B5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B30 – Variance Analysis: Kế hoạch vs Thực tế (1 kỳ, giả định)</t>
        </is>
      </c>
    </row>
    <row r="2">
      <c r="A2" s="2" t="inlineStr">
        <is>
          <t>Đơn vị: tấn; triệu VND/tấn; triệu VND. Mô phỏng hiện tượng biên gộp giảm 28,2% → 22,7% (2024→2025).</t>
        </is>
      </c>
    </row>
    <row r="4">
      <c r="A4" s="7" t="inlineStr">
        <is>
          <t>Sản phẩm</t>
        </is>
      </c>
      <c r="B4" s="7" t="inlineStr">
        <is>
          <t>SL KH</t>
        </is>
      </c>
      <c r="C4" s="7" t="inlineStr">
        <is>
          <t>Giá KH</t>
        </is>
      </c>
      <c r="D4" s="7" t="inlineStr">
        <is>
          <t>GV KH</t>
        </is>
      </c>
      <c r="E4" s="7" t="inlineStr">
        <is>
          <t>SL TT</t>
        </is>
      </c>
      <c r="F4" s="7" t="inlineStr">
        <is>
          <t>Giá TT</t>
        </is>
      </c>
      <c r="G4" s="7" t="inlineStr">
        <is>
          <t>GV TT</t>
        </is>
      </c>
      <c r="H4" s="7" t="inlineStr">
        <is>
          <t>LN gộp/đv KH</t>
        </is>
      </c>
      <c r="I4" s="7" t="inlineStr">
        <is>
          <t>Mix KH</t>
        </is>
      </c>
      <c r="J4" s="7" t="inlineStr">
        <is>
          <t>Mix TT</t>
        </is>
      </c>
      <c r="K4" s="7" t="inlineStr">
        <is>
          <t>CL giá bán</t>
        </is>
      </c>
      <c r="L4" s="7" t="inlineStr">
        <is>
          <t>CL giá vốn</t>
        </is>
      </c>
      <c r="M4" s="7" t="inlineStr">
        <is>
          <t>CL mix</t>
        </is>
      </c>
      <c r="N4" s="7" t="inlineStr">
        <is>
          <t>CL lượng</t>
        </is>
      </c>
    </row>
    <row r="5">
      <c r="A5" s="8" t="inlineStr">
        <is>
          <t>Puree chanh leo</t>
        </is>
      </c>
      <c r="B5" s="28" t="n">
        <v>6000</v>
      </c>
      <c r="C5" s="28" t="n">
        <v>44</v>
      </c>
      <c r="D5" s="28" t="n">
        <v>33</v>
      </c>
      <c r="E5" s="28" t="n">
        <v>6600</v>
      </c>
      <c r="F5" s="28" t="n">
        <v>45</v>
      </c>
      <c r="G5" s="28" t="n">
        <v>36.5</v>
      </c>
      <c r="H5" s="12">
        <f>C5-D5</f>
        <v/>
      </c>
      <c r="I5" s="14">
        <f>B5/$B$9</f>
        <v/>
      </c>
      <c r="J5" s="14">
        <f>E5/$E$9</f>
        <v/>
      </c>
      <c r="K5" s="19">
        <f>(F5-C5)*E5</f>
        <v/>
      </c>
      <c r="L5" s="19">
        <f>(D5-G5)*E5</f>
        <v/>
      </c>
      <c r="M5" s="19">
        <f>(E5-$E$9*I5)*H5</f>
        <v/>
      </c>
      <c r="N5" s="19">
        <f>($E$9*I5-B5)*H5</f>
        <v/>
      </c>
    </row>
    <row r="6">
      <c r="A6" s="8" t="inlineStr">
        <is>
          <t>IQF trái cây</t>
        </is>
      </c>
      <c r="B6" s="28" t="n">
        <v>3000</v>
      </c>
      <c r="C6" s="28" t="n">
        <v>52</v>
      </c>
      <c r="D6" s="28" t="n">
        <v>40</v>
      </c>
      <c r="E6" s="28" t="n">
        <v>2700</v>
      </c>
      <c r="F6" s="28" t="n">
        <v>51</v>
      </c>
      <c r="G6" s="28" t="n">
        <v>41</v>
      </c>
      <c r="H6" s="12">
        <f>C6-D6</f>
        <v/>
      </c>
      <c r="I6" s="14">
        <f>B6/$B$9</f>
        <v/>
      </c>
      <c r="J6" s="14">
        <f>E6/$E$9</f>
        <v/>
      </c>
      <c r="K6" s="19">
        <f>(F6-C6)*E6</f>
        <v/>
      </c>
      <c r="L6" s="19">
        <f>(D6-G6)*E6</f>
        <v/>
      </c>
      <c r="M6" s="19">
        <f>(E6-$E$9*I6)*H6</f>
        <v/>
      </c>
      <c r="N6" s="19">
        <f>($E$9*I6-B6)*H6</f>
        <v/>
      </c>
    </row>
    <row r="7">
      <c r="A7" s="8" t="inlineStr">
        <is>
          <t>Mít sấy – tự SX</t>
        </is>
      </c>
      <c r="B7" s="28" t="n">
        <v>1200</v>
      </c>
      <c r="C7" s="28" t="n">
        <v>180</v>
      </c>
      <c r="D7" s="28" t="n">
        <v>105</v>
      </c>
      <c r="E7" s="28" t="n">
        <v>900</v>
      </c>
      <c r="F7" s="28" t="n">
        <v>175</v>
      </c>
      <c r="G7" s="28" t="n">
        <v>110</v>
      </c>
      <c r="H7" s="12">
        <f>C7-D7</f>
        <v/>
      </c>
      <c r="I7" s="14">
        <f>B7/$B$9</f>
        <v/>
      </c>
      <c r="J7" s="14">
        <f>E7/$E$9</f>
        <v/>
      </c>
      <c r="K7" s="19">
        <f>(F7-C7)*E7</f>
        <v/>
      </c>
      <c r="L7" s="19">
        <f>(D7-G7)*E7</f>
        <v/>
      </c>
      <c r="M7" s="19">
        <f>(E7-$E$9*I7)*H7</f>
        <v/>
      </c>
      <c r="N7" s="19">
        <f>($E$9*I7-B7)*H7</f>
        <v/>
      </c>
    </row>
    <row r="8">
      <c r="A8" s="8" t="inlineStr">
        <is>
          <t>Mít sấy – gia công</t>
        </is>
      </c>
      <c r="B8" s="28" t="n">
        <v>300</v>
      </c>
      <c r="C8" s="28" t="n">
        <v>180</v>
      </c>
      <c r="D8" s="28" t="n">
        <v>135</v>
      </c>
      <c r="E8" s="28" t="n">
        <v>1100</v>
      </c>
      <c r="F8" s="28" t="n">
        <v>175</v>
      </c>
      <c r="G8" s="28" t="n">
        <v>138</v>
      </c>
      <c r="H8" s="12">
        <f>C8-D8</f>
        <v/>
      </c>
      <c r="I8" s="14">
        <f>B8/$B$9</f>
        <v/>
      </c>
      <c r="J8" s="14">
        <f>E8/$E$9</f>
        <v/>
      </c>
      <c r="K8" s="19">
        <f>(F8-C8)*E8</f>
        <v/>
      </c>
      <c r="L8" s="19">
        <f>(D8-G8)*E8</f>
        <v/>
      </c>
      <c r="M8" s="19">
        <f>(E8-$E$9*I8)*H8</f>
        <v/>
      </c>
      <c r="N8" s="19">
        <f>($E$9*I8-B8)*H8</f>
        <v/>
      </c>
    </row>
    <row r="9">
      <c r="A9" s="21" t="inlineStr">
        <is>
          <t>Tổng</t>
        </is>
      </c>
      <c r="B9" s="19">
        <f>SUM(B5:B8)</f>
        <v/>
      </c>
      <c r="E9" s="19">
        <f>SUM(E5:E8)</f>
        <v/>
      </c>
      <c r="K9" s="19">
        <f>SUM(K5:K8)</f>
        <v/>
      </c>
      <c r="L9" s="19">
        <f>SUM(L5:L8)</f>
        <v/>
      </c>
      <c r="M9" s="19">
        <f>SUM(M5:M8)</f>
        <v/>
      </c>
      <c r="N9" s="19">
        <f>SUM(N5:N8)</f>
        <v/>
      </c>
    </row>
    <row r="11">
      <c r="A11" s="8" t="inlineStr">
        <is>
          <t>Doanh thu KH</t>
        </is>
      </c>
      <c r="B11" s="22" t="n"/>
      <c r="C11" s="17">
        <f>SUMPRODUCT(B5:B8,C5:C8)</f>
        <v/>
      </c>
    </row>
    <row r="12">
      <c r="A12" s="8" t="inlineStr">
        <is>
          <t>LN gộp KH</t>
        </is>
      </c>
      <c r="B12" s="22" t="n"/>
      <c r="C12" s="17">
        <f>SUMPRODUCT(B5:B8,H5:H8)</f>
        <v/>
      </c>
    </row>
    <row r="13">
      <c r="A13" s="8" t="inlineStr">
        <is>
          <t>Biên gộp KH</t>
        </is>
      </c>
      <c r="B13" s="22" t="n"/>
      <c r="C13" s="14">
        <f>C12/C11</f>
        <v/>
      </c>
    </row>
    <row r="14">
      <c r="A14" s="8" t="inlineStr">
        <is>
          <t>Doanh thu TT</t>
        </is>
      </c>
      <c r="B14" s="22" t="n"/>
      <c r="C14" s="17">
        <f>SUMPRODUCT(E5:E8,F5:F8)</f>
        <v/>
      </c>
    </row>
    <row r="15">
      <c r="A15" s="8" t="inlineStr">
        <is>
          <t>LN gộp TT</t>
        </is>
      </c>
      <c r="B15" s="22" t="n"/>
      <c r="C15" s="17">
        <f>SUMPRODUCT(E5:E8,F5:F8)-SUMPRODUCT(E5:E8,G5:G8)</f>
        <v/>
      </c>
    </row>
    <row r="16">
      <c r="A16" s="8" t="inlineStr">
        <is>
          <t>Biên gộp TT</t>
        </is>
      </c>
      <c r="B16" s="22" t="n"/>
      <c r="C16" s="14">
        <f>C15/C14</f>
        <v/>
      </c>
    </row>
    <row r="17">
      <c r="A17" s="8" t="inlineStr">
        <is>
          <t>Kiểm tra: LN KH + ΣCL = LN TT</t>
        </is>
      </c>
      <c r="B17" s="22" t="n"/>
      <c r="C17" s="17">
        <f>C12+K9+L9+M9+N9-C15</f>
        <v/>
      </c>
    </row>
    <row r="19">
      <c r="A19" s="3" t="inlineStr">
        <is>
          <t>Tách CL giá vốn Puree thành CL giá NVL &amp; CL hiệu suất (yield)</t>
        </is>
      </c>
    </row>
    <row r="20">
      <c r="A20" s="8" t="inlineStr">
        <is>
          <t>Định mức quả chuẩn (kg/kg)</t>
        </is>
      </c>
      <c r="B20" s="22" t="n"/>
      <c r="C20" s="23" t="n">
        <v>2.8</v>
      </c>
      <c r="E20" t="inlineStr">
        <is>
          <t>Chạy: số âm (đỏ) = bất lợi. Hỏi: CL nào do Thu mua, CL nào do Sản xuất, CL nào do Sales/Kế hoạch?</t>
        </is>
      </c>
    </row>
    <row r="21">
      <c r="A21" s="8" t="inlineStr">
        <is>
          <t>Giá quả chuẩn (VND/kg)</t>
        </is>
      </c>
      <c r="B21" s="22" t="n"/>
      <c r="C21" s="15" t="n">
        <v>9000</v>
      </c>
    </row>
    <row r="22">
      <c r="A22" s="8" t="inlineStr">
        <is>
          <t>Quả thực dùng (tấn)</t>
        </is>
      </c>
      <c r="B22" s="22" t="n"/>
      <c r="C22" s="15" t="n">
        <v>19800</v>
      </c>
    </row>
    <row r="23">
      <c r="A23" s="8" t="inlineStr">
        <is>
          <t>Giá quả thực tế (VND/kg)</t>
        </is>
      </c>
      <c r="B23" s="22" t="n"/>
      <c r="C23" s="15" t="n">
        <v>10200</v>
      </c>
    </row>
    <row r="24">
      <c r="A24" s="8" t="inlineStr">
        <is>
          <t>Quả chuẩn cho SL thực tế (tấn)</t>
        </is>
      </c>
      <c r="B24" s="22" t="n"/>
      <c r="C24" s="17">
        <f>E5*C20</f>
        <v/>
      </c>
    </row>
    <row r="25">
      <c r="A25" s="8" t="inlineStr">
        <is>
          <t>CL giá NVL (tr VND) = (Giá chuẩn − Giá TT) × Lượng TT</t>
        </is>
      </c>
      <c r="B25" s="22" t="n"/>
      <c r="C25" s="19">
        <f>(C21-C23)*C22/1000</f>
        <v/>
      </c>
    </row>
    <row r="26">
      <c r="A26" s="8" t="inlineStr">
        <is>
          <t>CL hiệu suất (tr VND) = (Lượng chuẩn − Lượng TT) × Giá chuẩn</t>
        </is>
      </c>
      <c r="B26" s="22" t="n"/>
      <c r="C26" s="19">
        <f>(C24-C22)*C21/1000</f>
        <v/>
      </c>
    </row>
    <row r="27">
      <c r="A27" s="8" t="inlineStr">
        <is>
          <t>Yield thực tế (kg quả/kg puree)</t>
        </is>
      </c>
      <c r="B27" s="22" t="n"/>
      <c r="C27" s="16">
        <f>C22/E5</f>
        <v/>
      </c>
    </row>
  </sheetData>
  <mergeCells count="15">
    <mergeCell ref="A20:B20"/>
    <mergeCell ref="A21:B21"/>
    <mergeCell ref="A16:B16"/>
    <mergeCell ref="A24:B24"/>
    <mergeCell ref="A15:B15"/>
    <mergeCell ref="A26:B26"/>
    <mergeCell ref="A25:B25"/>
    <mergeCell ref="A11:B11"/>
    <mergeCell ref="A23:B23"/>
    <mergeCell ref="A13:B13"/>
    <mergeCell ref="A14:B14"/>
    <mergeCell ref="A17:B17"/>
    <mergeCell ref="A27:B27"/>
    <mergeCell ref="A22:B22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4" customWidth="1" min="4" max="4"/>
    <col width="44" customWidth="1" min="5" max="5"/>
    <col width="12" customWidth="1" min="6" max="6"/>
  </cols>
  <sheetData>
    <row r="1">
      <c r="A1" s="1" t="inlineStr">
        <is>
          <t>B31 – Warehouse Opex &amp; Inventory-to-Cash</t>
        </is>
      </c>
    </row>
    <row r="2">
      <c r="A2" s="2" t="inlineStr">
        <is>
          <t>Xanh lá = public; vàng = giả định.</t>
        </is>
      </c>
    </row>
    <row r="4">
      <c r="A4" s="8" t="inlineStr">
        <is>
          <t>Giá vốn 2025 (tỷ VND)</t>
        </is>
      </c>
      <c r="B4" s="22" t="n"/>
      <c r="C4" s="12">
        <f>'1_Public_Data'!C19</f>
        <v/>
      </c>
      <c r="E4" s="3" t="inlineStr">
        <is>
          <t>Chuỗi I2C của Nafoods (điền số ngày thực tế):</t>
        </is>
      </c>
    </row>
    <row r="5">
      <c r="A5" s="8" t="inlineStr">
        <is>
          <t>Doanh thu 2025 (tỷ VND)</t>
        </is>
      </c>
      <c r="B5" s="22" t="n"/>
      <c r="C5" s="12">
        <f>'1_Public_Data'!C5</f>
        <v/>
      </c>
      <c r="E5" s="7" t="inlineStr">
        <is>
          <t>Bước</t>
        </is>
      </c>
      <c r="F5" s="7" t="inlineStr">
        <is>
          <t>Ngày (điền)</t>
        </is>
      </c>
    </row>
    <row r="6">
      <c r="A6" s="8" t="inlineStr">
        <is>
          <t>Tồn kho cuối Q1/2026 (tỷ VND)</t>
        </is>
      </c>
      <c r="B6" s="22" t="n"/>
      <c r="C6" s="9" t="n">
        <v>249.2</v>
      </c>
      <c r="E6" s="8" t="inlineStr">
        <is>
          <t>Thu mua quả → nhập NVL (giờ)</t>
        </is>
      </c>
      <c r="F6" s="31" t="n"/>
    </row>
    <row r="7">
      <c r="A7" s="8" t="inlineStr">
        <is>
          <t>Trong đó thành phẩm (tỷ VND)</t>
        </is>
      </c>
      <c r="B7" s="22" t="n"/>
      <c r="C7" s="9" t="n">
        <v>195</v>
      </c>
      <c r="E7" s="8" t="inlineStr">
        <is>
          <t>Chế biến → nhập kho TP</t>
        </is>
      </c>
      <c r="F7" s="31" t="n"/>
    </row>
    <row r="8">
      <c r="A8" s="8" t="inlineStr">
        <is>
          <t>DSO giả định (ngày)</t>
        </is>
      </c>
      <c r="B8" s="22" t="n"/>
      <c r="C8" s="32" t="n">
        <v>60</v>
      </c>
      <c r="E8" s="8" t="inlineStr">
        <is>
          <t>QA release / chờ kết quả kiểm nghiệm</t>
        </is>
      </c>
      <c r="F8" s="31" t="n"/>
    </row>
    <row r="9">
      <c r="A9" s="8" t="inlineStr">
        <is>
          <t>DPO giả định (ngày)</t>
        </is>
      </c>
      <c r="B9" s="22" t="n"/>
      <c r="C9" s="32" t="n">
        <v>45</v>
      </c>
      <c r="E9" s="8" t="inlineStr">
        <is>
          <t>Tồn kho TP chờ booking</t>
        </is>
      </c>
      <c r="F9" s="31" t="n"/>
    </row>
    <row r="10">
      <c r="A10" s="8" t="inlineStr">
        <is>
          <t>DIO (ngày)</t>
        </is>
      </c>
      <c r="B10" s="22" t="n"/>
      <c r="C10" s="13">
        <f>C6/C4*365</f>
        <v/>
      </c>
      <c r="E10" s="8" t="inlineStr">
        <is>
          <t>Đóng container lạnh → xuất cảng</t>
        </is>
      </c>
      <c r="F10" s="31" t="n"/>
    </row>
    <row r="11">
      <c r="A11" s="8" t="inlineStr">
        <is>
          <t>CCC = DIO + DSO − DPO (ngày)</t>
        </is>
      </c>
      <c r="B11" s="22" t="n"/>
      <c r="C11" s="13">
        <f>C10+C8-C9</f>
        <v/>
      </c>
      <c r="E11" s="8" t="inlineStr">
        <is>
          <t>Vận chuyển biển (EU ~30–40 ngày)</t>
        </is>
      </c>
      <c r="F11" s="31" t="n"/>
    </row>
    <row r="12">
      <c r="E12" s="8" t="inlineStr">
        <is>
          <t>Trình bộ chứng từ / L/C / D/P</t>
        </is>
      </c>
      <c r="F12" s="31" t="n"/>
    </row>
    <row r="13">
      <c r="A13" s="8" t="inlineStr">
        <is>
          <t>Chi phí vốn (%/năm)</t>
        </is>
      </c>
      <c r="B13" s="22" t="n"/>
      <c r="C13" s="33" t="n">
        <v>0.08</v>
      </c>
      <c r="E13" s="8" t="inlineStr">
        <is>
          <t>Khách thanh toán → tiền về</t>
        </is>
      </c>
      <c r="F13" s="31" t="n"/>
    </row>
    <row r="14">
      <c r="A14" s="8" t="inlineStr">
        <is>
          <t>Chi phí kho lạnh &amp; vận hành kho (%/năm giá trị)</t>
        </is>
      </c>
      <c r="B14" s="22" t="n"/>
      <c r="C14" s="33" t="n">
        <v>0.04</v>
      </c>
      <c r="E14" s="8" t="inlineStr">
        <is>
          <t>Tổng ngày Inventory-to-Cash</t>
        </is>
      </c>
      <c r="F14" s="34">
        <f>SUM(F6:F13)</f>
        <v/>
      </c>
    </row>
    <row r="15">
      <c r="A15" s="8" t="inlineStr">
        <is>
          <t>Hao hụt, hết hạn, giảm giá (%/năm)</t>
        </is>
      </c>
      <c r="B15" s="22" t="n"/>
      <c r="C15" s="33" t="n">
        <v>0.02</v>
      </c>
    </row>
    <row r="16">
      <c r="A16" s="8" t="inlineStr">
        <is>
          <t>Bảo hiểm (%/năm)</t>
        </is>
      </c>
      <c r="B16" s="22" t="n"/>
      <c r="C16" s="33" t="n">
        <v>0.005</v>
      </c>
    </row>
    <row r="17">
      <c r="A17" s="8" t="inlineStr">
        <is>
          <t>Tổng chi phí nắm giữ (%/năm)</t>
        </is>
      </c>
      <c r="B17" s="22" t="n"/>
      <c r="C17" s="14">
        <f>SUM(C13:C16)</f>
        <v/>
      </c>
    </row>
    <row r="18">
      <c r="A18" s="8" t="inlineStr">
        <is>
          <t>Chi phí nắm giữ thành phẩm/năm (tỷ VND)</t>
        </is>
      </c>
      <c r="B18" s="22" t="n"/>
      <c r="C18" s="12">
        <f>C7*C17</f>
        <v/>
      </c>
    </row>
    <row r="20">
      <c r="A20" s="8" t="inlineStr">
        <is>
          <t>Mục tiêu giảm DIO (ngày)</t>
        </is>
      </c>
      <c r="B20" s="22" t="n"/>
      <c r="C20" s="32" t="n">
        <v>10</v>
      </c>
    </row>
    <row r="21">
      <c r="A21" s="8" t="inlineStr">
        <is>
          <t>Tiền mặt giải phóng (tỷ VND)</t>
        </is>
      </c>
      <c r="B21" s="22" t="n"/>
      <c r="C21" s="12">
        <f>C4/365*C20</f>
        <v/>
      </c>
    </row>
    <row r="22">
      <c r="A22" s="8" t="inlineStr">
        <is>
          <t>Tiết kiệm chi phí nắm giữ/năm (tỷ VND)</t>
        </is>
      </c>
      <c r="B22" s="22" t="n"/>
      <c r="C22" s="12">
        <f>C21*C17</f>
        <v/>
      </c>
    </row>
    <row r="24">
      <c r="A24" s="8" t="inlineStr">
        <is>
          <t>Kho lạnh −18°C: đơn giá thuê (VND/pallet/ngày)</t>
        </is>
      </c>
      <c r="B24" s="22" t="n"/>
      <c r="C24" s="15" t="n">
        <v>25000</v>
      </c>
    </row>
    <row r="25">
      <c r="A25" s="8" t="inlineStr">
        <is>
          <t>Tấn / pallet</t>
        </is>
      </c>
      <c r="B25" s="22" t="n"/>
      <c r="C25" s="35" t="n">
        <v>0.9</v>
      </c>
    </row>
    <row r="26">
      <c r="A26" s="8" t="inlineStr">
        <is>
          <t>Tồn kho đông lạnh bình quân (tấn)</t>
        </is>
      </c>
      <c r="B26" s="22" t="n"/>
      <c r="C26" s="15" t="n">
        <v>4000</v>
      </c>
    </row>
    <row r="27">
      <c r="A27" s="8" t="inlineStr">
        <is>
          <t>Chi phí thuê kho lạnh/năm (tỷ VND)</t>
        </is>
      </c>
      <c r="B27" s="22" t="n"/>
      <c r="C27" s="12">
        <f>C26/C25*C24*365/1e9</f>
        <v/>
      </c>
    </row>
    <row r="28">
      <c r="A28" s="8" t="inlineStr">
        <is>
          <t>Chi phí kho / kg hàng xuất (VND/kg) – nếu xuất 20.000 t/năm</t>
        </is>
      </c>
      <c r="B28" s="22" t="n"/>
      <c r="C28" s="17">
        <f>C27*1e9/(20000*1000)</f>
        <v/>
      </c>
    </row>
  </sheetData>
  <mergeCells count="22">
    <mergeCell ref="A24:B24"/>
    <mergeCell ref="A15:B15"/>
    <mergeCell ref="A11:B11"/>
    <mergeCell ref="A6:B6"/>
    <mergeCell ref="A16:B16"/>
    <mergeCell ref="A7:B7"/>
    <mergeCell ref="A25:B25"/>
    <mergeCell ref="A18:B18"/>
    <mergeCell ref="A27:B27"/>
    <mergeCell ref="A26:B26"/>
    <mergeCell ref="A21:B21"/>
    <mergeCell ref="A5:B5"/>
    <mergeCell ref="A14:B14"/>
    <mergeCell ref="A17:B17"/>
    <mergeCell ref="A8:B8"/>
    <mergeCell ref="A22:B22"/>
    <mergeCell ref="A4:B4"/>
    <mergeCell ref="A20:B20"/>
    <mergeCell ref="A10:B10"/>
    <mergeCell ref="A28:B28"/>
    <mergeCell ref="A13:B13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22" customWidth="1" min="4" max="4"/>
    <col width="18" customWidth="1" min="5" max="5"/>
    <col width="12" customWidth="1" min="6" max="6"/>
    <col width="26" customWidth="1" min="7" max="7"/>
  </cols>
  <sheetData>
    <row r="1">
      <c r="A1" s="1" t="inlineStr">
        <is>
          <t>B32 – Từ điển KPI cho Dashboard Costing &amp; Inventory</t>
        </is>
      </c>
    </row>
    <row r="2">
      <c r="A2" s="2" t="inlineStr">
        <is>
          <t>Mỗi KPI: định nghĩa – công thức – nguồn dữ liệu – chủ sở hữu – tần suất – ngưỡng gợi ý</t>
        </is>
      </c>
    </row>
    <row r="4">
      <c r="A4" s="7" t="inlineStr">
        <is>
          <t>Nhóm</t>
        </is>
      </c>
      <c r="B4" s="7" t="inlineStr">
        <is>
          <t>KPI</t>
        </is>
      </c>
      <c r="C4" s="7" t="inlineStr">
        <is>
          <t>Công thức</t>
        </is>
      </c>
      <c r="D4" s="7" t="inlineStr">
        <is>
          <t>Nguồn dữ liệu</t>
        </is>
      </c>
      <c r="E4" s="7" t="inlineStr">
        <is>
          <t>Chủ sở hữu</t>
        </is>
      </c>
      <c r="F4" s="7" t="inlineStr">
        <is>
          <t>Tần suất</t>
        </is>
      </c>
      <c r="G4" s="7" t="inlineStr">
        <is>
          <t>Ngưỡng gợi ý</t>
        </is>
      </c>
    </row>
    <row r="5">
      <c r="A5" s="36" t="inlineStr">
        <is>
          <t>Demand</t>
        </is>
      </c>
      <c r="B5" s="36" t="inlineStr">
        <is>
          <t>Forecast Accuracy (1−MAPE)</t>
        </is>
      </c>
      <c r="C5" s="36" t="inlineStr">
        <is>
          <t>1 − Σ|F−A|/ΣA theo SKU-tháng</t>
        </is>
      </c>
      <c r="D5" s="36" t="inlineStr">
        <is>
          <t>ERP sales, file S&amp;OP</t>
        </is>
      </c>
      <c r="E5" s="36" t="inlineStr">
        <is>
          <t>Demand Planner</t>
        </is>
      </c>
      <c r="F5" s="36" t="inlineStr">
        <is>
          <t>Tháng</t>
        </is>
      </c>
      <c r="G5" s="36" t="inlineStr">
        <is>
          <t>≥ 75% (SKU), ≥ 85% (nhóm)</t>
        </is>
      </c>
    </row>
    <row r="6">
      <c r="A6" s="36" t="inlineStr">
        <is>
          <t>Demand</t>
        </is>
      </c>
      <c r="B6" s="36" t="inlineStr">
        <is>
          <t>Forecast Bias</t>
        </is>
      </c>
      <c r="C6" s="36" t="inlineStr">
        <is>
          <t>(ΣF − ΣA)/ΣA</t>
        </is>
      </c>
      <c r="D6" s="36" t="inlineStr">
        <is>
          <t>ERP, S&amp;OP</t>
        </is>
      </c>
      <c r="E6" s="36" t="inlineStr">
        <is>
          <t>Demand Planner</t>
        </is>
      </c>
      <c r="F6" s="36" t="inlineStr">
        <is>
          <t>Tháng</t>
        </is>
      </c>
      <c r="G6" s="36" t="inlineStr">
        <is>
          <t>±5%</t>
        </is>
      </c>
    </row>
    <row r="7">
      <c r="A7" s="36" t="inlineStr">
        <is>
          <t>Demand</t>
        </is>
      </c>
      <c r="B7" s="36" t="inlineStr">
        <is>
          <t>Raw-material coverage</t>
        </is>
      </c>
      <c r="C7" s="36" t="inlineStr">
        <is>
          <t>Quả ký HĐ / quả cần theo dự báo</t>
        </is>
      </c>
      <c r="D7" s="36" t="inlineStr">
        <is>
          <t>Thu mua, vùng trồng</t>
        </is>
      </c>
      <c r="E7" s="36" t="inlineStr">
        <is>
          <t>Thu mua</t>
        </is>
      </c>
      <c r="F7" s="36" t="inlineStr">
        <is>
          <t>Tuần (mùa vụ)</t>
        </is>
      </c>
      <c r="G7" s="36" t="inlineStr">
        <is>
          <t>≥ 95%</t>
        </is>
      </c>
    </row>
    <row r="8">
      <c r="A8" s="36" t="inlineStr">
        <is>
          <t>Costing</t>
        </is>
      </c>
      <c r="B8" s="36" t="inlineStr">
        <is>
          <t>Giá vốn / kg TP theo SKU</t>
        </is>
      </c>
      <c r="C8" s="36" t="inlineStr">
        <is>
          <t>(NVL + NC + SXC)/kg</t>
        </is>
      </c>
      <c r="D8" s="36" t="inlineStr">
        <is>
          <t>ERP costing</t>
        </is>
      </c>
      <c r="E8" s="36" t="inlineStr">
        <is>
          <t>Kế toán giá thành</t>
        </is>
      </c>
      <c r="F8" s="36" t="inlineStr">
        <is>
          <t>Tháng</t>
        </is>
      </c>
      <c r="G8" s="36" t="inlineStr">
        <is>
          <t>So chuẩn ±3%</t>
        </is>
      </c>
    </row>
    <row r="9">
      <c r="A9" s="36" t="inlineStr">
        <is>
          <t>Costing</t>
        </is>
      </c>
      <c r="B9" s="36" t="inlineStr">
        <is>
          <t>Yield (kg quả/kg TP)</t>
        </is>
      </c>
      <c r="C9" s="36" t="inlineStr">
        <is>
          <t>Quả đưa vào / TP nhập kho</t>
        </is>
      </c>
      <c r="D9" s="36" t="inlineStr">
        <is>
          <t>MES/biên bản SX</t>
        </is>
      </c>
      <c r="E9" s="36" t="inlineStr">
        <is>
          <t>Quản đốc</t>
        </is>
      </c>
      <c r="F9" s="36" t="inlineStr">
        <is>
          <t>Ca/ngày</t>
        </is>
      </c>
      <c r="G9" s="36" t="inlineStr">
        <is>
          <t>Chanh leo puree ≤ 2,9</t>
        </is>
      </c>
    </row>
    <row r="10">
      <c r="A10" s="36" t="inlineStr">
        <is>
          <t>Costing</t>
        </is>
      </c>
      <c r="B10" s="36" t="inlineStr">
        <is>
          <t>Giá quả bình quân</t>
        </is>
      </c>
      <c r="C10" s="36" t="inlineStr">
        <is>
          <t>Σ tiền thu mua / Σ kg</t>
        </is>
      </c>
      <c r="D10" s="36" t="inlineStr">
        <is>
          <t>Thu mua</t>
        </is>
      </c>
      <c r="E10" s="36" t="inlineStr">
        <is>
          <t>Thu mua</t>
        </is>
      </c>
      <c r="F10" s="36" t="inlineStr">
        <is>
          <t>Ngày</t>
        </is>
      </c>
      <c r="G10" s="36" t="inlineStr">
        <is>
          <t>Theo dải giá S&amp;OP</t>
        </is>
      </c>
    </row>
    <row r="11">
      <c r="A11" s="36" t="inlineStr">
        <is>
          <t>Capacity</t>
        </is>
      </c>
      <c r="B11" s="36" t="inlineStr">
        <is>
          <t>Hiệu suất sử dụng công suất</t>
        </is>
      </c>
      <c r="C11" s="36" t="inlineStr">
        <is>
          <t>Sản lượng / công suất</t>
        </is>
      </c>
      <c r="D11" s="36" t="inlineStr">
        <is>
          <t>MES</t>
        </is>
      </c>
      <c r="E11" s="36" t="inlineStr">
        <is>
          <t>GĐ nhà máy</t>
        </is>
      </c>
      <c r="F11" s="36" t="inlineStr">
        <is>
          <t>Tuần</t>
        </is>
      </c>
      <c r="G11" s="36" t="inlineStr">
        <is>
          <t>≥ 75% bình quân năm</t>
        </is>
      </c>
    </row>
    <row r="12">
      <c r="A12" s="36" t="inlineStr">
        <is>
          <t>Capacity</t>
        </is>
      </c>
      <c r="B12" s="36" t="inlineStr">
        <is>
          <t>Chi phí năng lực nhàn rỗi</t>
        </is>
      </c>
      <c r="C12" s="36" t="inlineStr">
        <is>
          <t>SXC cố định − SXC phân bổ</t>
        </is>
      </c>
      <c r="D12" s="36" t="inlineStr">
        <is>
          <t>ERP</t>
        </is>
      </c>
      <c r="E12" s="36" t="inlineStr">
        <is>
          <t>Kế toán giá thành</t>
        </is>
      </c>
      <c r="F12" s="36" t="inlineStr">
        <is>
          <t>Tháng</t>
        </is>
      </c>
      <c r="G12" s="36" t="inlineStr">
        <is>
          <t>→ 0</t>
        </is>
      </c>
    </row>
    <row r="13">
      <c r="A13" s="36" t="inlineStr">
        <is>
          <t>Variance</t>
        </is>
      </c>
      <c r="B13" s="36" t="inlineStr">
        <is>
          <t>CL giá NVL / CL yield / CL mix</t>
        </is>
      </c>
      <c r="C13" s="36" t="inlineStr">
        <is>
          <t>Xem sheet B30</t>
        </is>
      </c>
      <c r="D13" s="36" t="inlineStr">
        <is>
          <t>ERP + S&amp;OP</t>
        </is>
      </c>
      <c r="E13" s="36" t="inlineStr">
        <is>
          <t>FP&amp;A</t>
        </is>
      </c>
      <c r="F13" s="36" t="inlineStr">
        <is>
          <t>Tháng</t>
        </is>
      </c>
      <c r="G13" s="36" t="inlineStr">
        <is>
          <t>Giải trình nếu &gt; 2% LN gộp</t>
        </is>
      </c>
    </row>
    <row r="14">
      <c r="A14" s="36" t="inlineStr">
        <is>
          <t>Inventory</t>
        </is>
      </c>
      <c r="B14" s="36" t="inlineStr">
        <is>
          <t>DIO theo nhóm (NVL, BTP, TP)</t>
        </is>
      </c>
      <c r="C14" s="36" t="inlineStr">
        <is>
          <t>Tồn kho / giá vốn × 365</t>
        </is>
      </c>
      <c r="D14" s="36" t="inlineStr">
        <is>
          <t>ERP/WMS</t>
        </is>
      </c>
      <c r="E14" s="36" t="inlineStr">
        <is>
          <t>Supply Chain</t>
        </is>
      </c>
      <c r="F14" s="36" t="inlineStr">
        <is>
          <t>Tháng</t>
        </is>
      </c>
      <c r="G14" s="36" t="inlineStr">
        <is>
          <t>TP ≤ 45 ngày (ngoài mùa đệm)</t>
        </is>
      </c>
    </row>
    <row r="15">
      <c r="A15" s="36" t="inlineStr">
        <is>
          <t>Inventory</t>
        </is>
      </c>
      <c r="B15" s="36" t="inlineStr">
        <is>
          <t>Tuổi tồn kho TP (aging)</t>
        </is>
      </c>
      <c r="C15" s="36" t="inlineStr">
        <is>
          <t>% giá trị TP &gt; 180 ngày</t>
        </is>
      </c>
      <c r="D15" s="36" t="inlineStr">
        <is>
          <t>WMS</t>
        </is>
      </c>
      <c r="E15" s="36" t="inlineStr">
        <is>
          <t>Kho</t>
        </is>
      </c>
      <c r="F15" s="36" t="inlineStr">
        <is>
          <t>Tuần</t>
        </is>
      </c>
      <c r="G15" s="36" t="inlineStr">
        <is>
          <t>≤ 5%</t>
        </is>
      </c>
    </row>
    <row r="16">
      <c r="A16" s="36" t="inlineStr">
        <is>
          <t>Inventory</t>
        </is>
      </c>
      <c r="B16" s="36" t="inlineStr">
        <is>
          <t>Độ chính xác tồn kho</t>
        </is>
      </c>
      <c r="C16" s="36" t="inlineStr">
        <is>
          <t>Số đếm = hệ thống</t>
        </is>
      </c>
      <c r="D16" s="36" t="inlineStr">
        <is>
          <t>Kiểm kê chu kỳ</t>
        </is>
      </c>
      <c r="E16" s="36" t="inlineStr">
        <is>
          <t>Kho</t>
        </is>
      </c>
      <c r="F16" s="36" t="inlineStr">
        <is>
          <t>Tháng</t>
        </is>
      </c>
      <c r="G16" s="36" t="inlineStr">
        <is>
          <t>≥ 98%</t>
        </is>
      </c>
    </row>
    <row r="17">
      <c r="A17" s="36" t="inlineStr">
        <is>
          <t>Warehouse</t>
        </is>
      </c>
      <c r="B17" s="36" t="inlineStr">
        <is>
          <t>Chi phí kho / kg xuất</t>
        </is>
      </c>
      <c r="C17" s="36" t="inlineStr">
        <is>
          <t>Opex kho / kg xuất</t>
        </is>
      </c>
      <c r="D17" s="36" t="inlineStr">
        <is>
          <t>Kế toán, WMS</t>
        </is>
      </c>
      <c r="E17" s="36" t="inlineStr">
        <is>
          <t>Logistics</t>
        </is>
      </c>
      <c r="F17" s="36" t="inlineStr">
        <is>
          <t>Tháng</t>
        </is>
      </c>
      <c r="G17" s="36" t="inlineStr">
        <is>
          <t>Giảm 5%/năm</t>
        </is>
      </c>
    </row>
    <row r="18">
      <c r="A18" s="36" t="inlineStr">
        <is>
          <t>Warehouse</t>
        </is>
      </c>
      <c r="B18" s="36" t="inlineStr">
        <is>
          <t>Lấp đầy kho lạnh</t>
        </is>
      </c>
      <c r="C18" s="36" t="inlineStr">
        <is>
          <t>Pallet dùng / pallet sức chứa</t>
        </is>
      </c>
      <c r="D18" s="36" t="inlineStr">
        <is>
          <t>WMS</t>
        </is>
      </c>
      <c r="E18" s="36" t="inlineStr">
        <is>
          <t>Kho</t>
        </is>
      </c>
      <c r="F18" s="36" t="inlineStr">
        <is>
          <t>Tuần</t>
        </is>
      </c>
      <c r="G18" s="36" t="inlineStr">
        <is>
          <t>70–90%</t>
        </is>
      </c>
    </row>
    <row r="19">
      <c r="A19" s="36" t="inlineStr">
        <is>
          <t>Cash</t>
        </is>
      </c>
      <c r="B19" s="36" t="inlineStr">
        <is>
          <t>Inventory-to-Cash (ngày)</t>
        </is>
      </c>
      <c r="C19" s="36" t="inlineStr">
        <is>
          <t>Nhập NVL → tiền về</t>
        </is>
      </c>
      <c r="D19" s="36" t="inlineStr">
        <is>
          <t>ERP</t>
        </is>
      </c>
      <c r="E19" s="36" t="inlineStr">
        <is>
          <t>CFO</t>
        </is>
      </c>
      <c r="F19" s="36" t="inlineStr">
        <is>
          <t>Tháng</t>
        </is>
      </c>
      <c r="G19" s="36" t="inlineStr">
        <is>
          <t>Giảm 10 ngày/năm</t>
        </is>
      </c>
    </row>
    <row r="20">
      <c r="A20" s="36" t="inlineStr">
        <is>
          <t>Service</t>
        </is>
      </c>
      <c r="B20" s="36" t="inlineStr">
        <is>
          <t>OTIF xuất khẩu</t>
        </is>
      </c>
      <c r="C20" s="36" t="inlineStr">
        <is>
          <t>Đơn đúng hạn &amp; đủ / tổng đơn</t>
        </is>
      </c>
      <c r="D20" s="36" t="inlineStr">
        <is>
          <t>ERP, booking</t>
        </is>
      </c>
      <c r="E20" s="36" t="inlineStr">
        <is>
          <t>Logistics</t>
        </is>
      </c>
      <c r="F20" s="36" t="inlineStr">
        <is>
          <t>Tháng</t>
        </is>
      </c>
      <c r="G20" s="36" t="inlineStr">
        <is>
          <t>≥ 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2026-10-11T14:44:34Z</dcterms:created>
  <dcterms:modified xmlns:dcterms="http://purl.org/dc/terms/" xmlns:xsi="http://www.w3.org/2001/XMLSchema-instance" xsi:type="dcterms:W3CDTF">2026-10-11T14:44:34Z</dcterms:modified>
</cp:coreProperties>
</file>